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728199948b3b3eb/Documents/Data analysis/AnalystLab africa/Projet Final/"/>
    </mc:Choice>
  </mc:AlternateContent>
  <xr:revisionPtr revIDLastSave="2" documentId="11_AACA67B888B3B4E93C2896B6E6EF83062EC5704C" xr6:coauthVersionLast="47" xr6:coauthVersionMax="47" xr10:uidLastSave="{63827753-0560-476A-AF57-375AB25600EB}"/>
  <bookViews>
    <workbookView minimized="1" xWindow="5304" yWindow="3708" windowWidth="13152" windowHeight="8880" tabRatio="500" xr2:uid="{00000000-000D-0000-FFFF-FFFF00000000}"/>
  </bookViews>
  <sheets>
    <sheet name="README" sheetId="1" r:id="rId1"/>
    <sheet name="Data" sheetId="2" r:id="rId2"/>
    <sheet name="Data_Dictionary" sheetId="3" r:id="rId3"/>
    <sheet name="Region_Summary" sheetId="4" r:id="rId4"/>
    <sheet name="Cleaning_Log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4" l="1"/>
  <c r="H7" i="4"/>
  <c r="G7" i="4"/>
  <c r="F7" i="4"/>
  <c r="E7" i="4"/>
  <c r="D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I3" i="4"/>
  <c r="H3" i="4"/>
  <c r="G3" i="4"/>
  <c r="F3" i="4"/>
  <c r="E3" i="4"/>
  <c r="D3" i="4"/>
  <c r="C3" i="4"/>
  <c r="B3" i="4"/>
  <c r="I2" i="4"/>
  <c r="H2" i="4"/>
  <c r="G2" i="4"/>
  <c r="F2" i="4"/>
  <c r="E2" i="4"/>
  <c r="D2" i="4"/>
  <c r="C2" i="4"/>
  <c r="C7" i="4" s="1"/>
  <c r="B2" i="4"/>
  <c r="B7" i="4" s="1"/>
</calcChain>
</file>

<file path=xl/sharedStrings.xml><?xml version="1.0" encoding="utf-8"?>
<sst xmlns="http://schemas.openxmlformats.org/spreadsheetml/2006/main" count="421" uniqueCount="159">
  <si>
    <t>Éducation en Afrique — Projet Capstone Data Analytics</t>
  </si>
  <si>
    <t>Source de données : World Bank — World Development Indicators (WDI), UNESCO Institute for Statistics, IMF World Economic Outlook, ONU (population)</t>
  </si>
  <si>
    <t>Périmètre : 54 pays d'Afrique | Dernière année disponible par indicateur (2015-2024 selon la série)</t>
  </si>
  <si>
    <t>CONTENU DU CLASSEUR</t>
  </si>
  <si>
    <t>1. README — ce guide</t>
  </si>
  <si>
    <t>2. Data — jeu de données nettoyé, une ligne par pays (source pour Power BI)</t>
  </si>
  <si>
    <t>3. Data_Dictionary — définition de chaque colonne</t>
  </si>
  <si>
    <t>4. Region_Summary — agrégats par région (formules SUMIFS/AVERAGEIFS, recalculables)</t>
  </si>
  <si>
    <t>5. Cleaning_Log — étapes de nettoyage appliquées et hypothèses</t>
  </si>
  <si>
    <t>Country</t>
  </si>
  <si>
    <t>Region</t>
  </si>
  <si>
    <t>Population_2023</t>
  </si>
  <si>
    <t>Population_Millions</t>
  </si>
  <si>
    <t>GDP_PPP_per_capita_USD</t>
  </si>
  <si>
    <t>GDP_per_capita_Category</t>
  </si>
  <si>
    <t>Literacy_Rate_Total_pct</t>
  </si>
  <si>
    <t>Literacy_Rate_Male_pct</t>
  </si>
  <si>
    <t>Literacy_Rate_Female_pct</t>
  </si>
  <si>
    <t>Literacy_Gender_Gap_pp</t>
  </si>
  <si>
    <t>Literacy_Category</t>
  </si>
  <si>
    <t>Literacy_Year</t>
  </si>
  <si>
    <t>Edu_Spending_pct_GDP</t>
  </si>
  <si>
    <t>Education_Investment_Category</t>
  </si>
  <si>
    <t>Primary_Enrollment_pct_gross</t>
  </si>
  <si>
    <t>Secondary_Enrollment_pct_gross</t>
  </si>
  <si>
    <t>Enrollment_Drop_Primary_to_Secondary_pp</t>
  </si>
  <si>
    <t>Out_of_School_Risk_Index</t>
  </si>
  <si>
    <t>Data_Estimated_Flag</t>
  </si>
  <si>
    <t>Algeria</t>
  </si>
  <si>
    <t>North Africa</t>
  </si>
  <si>
    <t>High (&gt;$10k)</t>
  </si>
  <si>
    <t>Moderate (70-85%)</t>
  </si>
  <si>
    <t>Good (4-6%)</t>
  </si>
  <si>
    <t>Angola</t>
  </si>
  <si>
    <t>Southern Africa</t>
  </si>
  <si>
    <t>Moderate (2-4%)</t>
  </si>
  <si>
    <t>Primary_Enrollment;Secondary_Enrollment;</t>
  </si>
  <si>
    <t>Benin</t>
  </si>
  <si>
    <t>West Africa</t>
  </si>
  <si>
    <t>Upper-middle ($5-10k)</t>
  </si>
  <si>
    <t>Critical (&lt;50%)</t>
  </si>
  <si>
    <t>Secondary_Enrollment;</t>
  </si>
  <si>
    <t>Botswana</t>
  </si>
  <si>
    <t>High (85%+)</t>
  </si>
  <si>
    <t>High (6%+)</t>
  </si>
  <si>
    <t>Burkina Faso</t>
  </si>
  <si>
    <t>Lower-middle ($2-5k)</t>
  </si>
  <si>
    <t>Burundi</t>
  </si>
  <si>
    <t>East Africa</t>
  </si>
  <si>
    <t>Low income (&lt;$2k)</t>
  </si>
  <si>
    <t>Low (50-70%)</t>
  </si>
  <si>
    <t>Cameroon</t>
  </si>
  <si>
    <t>Central Africa</t>
  </si>
  <si>
    <t>Cape Verde</t>
  </si>
  <si>
    <t>Central African Republic</t>
  </si>
  <si>
    <t>Chad</t>
  </si>
  <si>
    <t>Comoros</t>
  </si>
  <si>
    <t>Congo</t>
  </si>
  <si>
    <t>DR Congo</t>
  </si>
  <si>
    <t>Djibouti</t>
  </si>
  <si>
    <t>Literacy_Rate_Total;Literacy_Rate_Male;Literacy_Rate_Female;Literacy_Gender_Gap_pp;Primary_Enrollment;Secondary_Enrollment;</t>
  </si>
  <si>
    <t>Egypt</t>
  </si>
  <si>
    <t>Equatorial Guinea</t>
  </si>
  <si>
    <t>Low (&lt;2%)</t>
  </si>
  <si>
    <t>Eritrea</t>
  </si>
  <si>
    <t>Secondary_Enrollment;GDP_PPP_per_capita;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</si>
  <si>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</si>
  <si>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</si>
  <si>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</si>
  <si>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</si>
  <si>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</si>
  <si>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</si>
  <si>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</si>
  <si>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</si>
  <si>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</si>
  <si>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</si>
  <si>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</si>
  <si>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</si>
  <si>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</si>
  <si>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</si>
  <si>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</si>
  <si>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</si>
  <si>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</si>
  <si>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Primary_Enrollment;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</si>
  <si>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</si>
  <si>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</si>
  <si>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</si>
  <si>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</si>
  <si>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</si>
  <si>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</si>
  <si>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</si>
  <si>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</si>
  <si>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</si>
  <si>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</si>
  <si>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</si>
  <si>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Literacy_Rate_Male;Literacy_Rate_Female;Literacy_Gender_Gap_pp;Primary_Enrollment;Secondary_Enrollment;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</si>
  <si>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</si>
  <si>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</si>
  <si>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</si>
  <si>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</si>
  <si>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</si>
  <si>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</si>
  <si>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</si>
  <si>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</si>
  <si>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</si>
  <si>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Colonne</t>
  </si>
  <si>
    <t>Définition</t>
  </si>
  <si>
    <t>Nom du pays africain</t>
  </si>
  <si>
    <t>Sous-région Afrique (Nord, Ouest, Est, Centrale, Australe)</t>
  </si>
  <si>
    <t>Population totale, estimation la plus récente (Nations Unies / recensements officiels)</t>
  </si>
  <si>
    <t>Population exprimée en millions (colonne calculée)</t>
  </si>
  <si>
    <t>PIB par habitant en parité de pouvoir d'achat, $ internationaux (FMI, WEO avril 2026)</t>
  </si>
  <si>
    <t>Catégorie de revenu par habitant (colonne calculée : bins)</t>
  </si>
  <si>
    <t>Taux d'alphabétisation des adultes, total (%) — UNESCO/CIA World Factbook</t>
  </si>
  <si>
    <t>Taux d'alphabétisation des hommes adultes (%)</t>
  </si>
  <si>
    <t>Taux d'alphabétisation des femmes adultes (%)</t>
  </si>
  <si>
    <t>Écart Homme-Femme en points de %, positif = hommes plus alphabétisés (colonne calculée)</t>
  </si>
  <si>
    <t>Catégorisation du taux d'alphabétisation (colonne calculée : bins)</t>
  </si>
  <si>
    <t>Année de référence de la donnée d'alphabétisation</t>
  </si>
  <si>
    <t>Dépenses publiques d'éducation en % du PIB (Banque Mondiale / UNESCO)</t>
  </si>
  <si>
    <t>Catégorisation du niveau d'investissement éducatif (colonne calculée : bins)</t>
  </si>
  <si>
    <t>Taux brut de scolarisation primaire (%), UNESCO, 2022</t>
  </si>
  <si>
    <t>Taux brut de scolarisation secondaire (%), UNESCO, 2024</t>
  </si>
  <si>
    <t>Écart entre scolarisation primaire et secondaire, en points de % (colonne calculée)</t>
  </si>
  <si>
    <t>Indice simplifié de risque de non-scolarisation = 100 - taux net primaire plafonné à 100 (colonne calculée)</t>
  </si>
  <si>
    <t>Liste des champs imputés par la médiane régionale faute de donnée officielle récente (transparence méthodologique)</t>
  </si>
  <si>
    <t>Nb_Pays</t>
  </si>
  <si>
    <t>Population_Totale</t>
  </si>
  <si>
    <t>PIB_par_habitant_Moyen_USD</t>
  </si>
  <si>
    <t>Taux_Alphabetisation_Moyen_pct</t>
  </si>
  <si>
    <t>Ecart_Genre_Moyen_pp</t>
  </si>
  <si>
    <t>Depenses_Education_pct_PIB_Moyenne</t>
  </si>
  <si>
    <t>Scolarisation_Primaire_Moyenne_pct</t>
  </si>
  <si>
    <t>Scolarisation_Secondaire_Moyenne_pct</t>
  </si>
  <si>
    <t>TOTAL / MOYENNE AFRIQUE</t>
  </si>
  <si>
    <t>Étape</t>
  </si>
  <si>
    <t>Description</t>
  </si>
  <si>
    <t>Détail</t>
  </si>
  <si>
    <t>1. Collecte</t>
  </si>
  <si>
    <t>Compilation multi-sources</t>
  </si>
  <si>
    <t>Population (ONU/Wikipedia), PIB PPA/habitant (FMI WEO), alphabétisation (UNESCO/CIA), dépenses éducation %PIB (Banque Mondiale/UNESCO), scolarisation primaire &amp; secondaire brute (UNESCO)</t>
  </si>
  <si>
    <t>2. Doublons</t>
  </si>
  <si>
    <t>Vérification unicité pays</t>
  </si>
  <si>
    <t>0 doublon détecté sur 54 pays (Country utilisé comme clé unique)</t>
  </si>
  <si>
    <t>3. Valeurs manquantes</t>
  </si>
  <si>
    <t>Imputation par médiane régionale</t>
  </si>
  <si>
    <t>Pour les indicateurs sans donnée récente publiée (ex. scolarisation secondaire manquante pour ~42 pays faute de série UNESCO à jour), la valeur manquante est remplacée par la médiane de la sous-région Afrique correspondante. Chaque ligne imputée est tracée dans la colonne Data_Estimated_Flag.</t>
  </si>
  <si>
    <t>4. Standardisation</t>
  </si>
  <si>
    <t>Noms de pays harmonisés</t>
  </si>
  <si>
    <t>Ivory Coast / Côte d'Ivoire, DR Congo / RD Congo, etc. harmonisés à une seule graphie anglaise pour éviter les doublons de clé</t>
  </si>
  <si>
    <t>5. Formats</t>
  </si>
  <si>
    <t>Types de données uniformisés</t>
  </si>
  <si>
    <t>Population et PIB en entiers ; pourcentages arrondis à 1 décimale ; année en entier</t>
  </si>
  <si>
    <t>6. Colonnes calculées</t>
  </si>
  <si>
    <t>Voir Data_Dictionary</t>
  </si>
  <si>
    <t>Population_Millions, GDP_per_capita_Category, Literacy_Category, Education_Investment_Category, Literacy_Gender_Gap_pp, Enrollment_Drop_Primary_to_Secondary_pp, Out_of_School_Risk_Index</t>
  </si>
  <si>
    <t>7. Limites</t>
  </si>
  <si>
    <t>Hétérogénéité des années de référence</t>
  </si>
  <si>
    <t>Les indicateurs proviennent d'années différentes selon la dernière publication disponible par pays (2015-2024). Ceci est un standard de l'analyse WDI/UNESCO ; l'année de référence de l'alphabétisation est conservée dans Literacy_Year pour transparence.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</si>
</sst>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cationData" displayName="EducationData" ref="A1:S55" totalsRowShown="0">
  <autoFilter ref="A1:S55" xr:uid="{00000000-0009-0000-0100-000001000000}"/>
  <tableColumns count="19">
    <tableColumn id="1" xr3:uid="{00000000-0010-0000-0000-000001000000}" name="Country"/>
    <tableColumn id="2" xr3:uid="{00000000-0010-0000-0000-000002000000}" name="Region"/>
    <tableColumn id="3" xr3:uid="{00000000-0010-0000-0000-000003000000}" name="Population_2023"/>
    <tableColumn id="4" xr3:uid="{00000000-0010-0000-0000-000004000000}" name="Population_Millions"/>
    <tableColumn id="5" xr3:uid="{00000000-0010-0000-0000-000005000000}" name="GDP_PPP_per_capita_USD"/>
    <tableColumn id="6" xr3:uid="{00000000-0010-0000-0000-000006000000}" name="GDP_per_capita_Category"/>
    <tableColumn id="7" xr3:uid="{00000000-0010-0000-0000-000007000000}" name="Literacy_Rate_Total_pct"/>
    <tableColumn id="8" xr3:uid="{00000000-0010-0000-0000-000008000000}" name="Literacy_Rate_Male_pct"/>
    <tableColumn id="9" xr3:uid="{00000000-0010-0000-0000-000009000000}" name="Literacy_Rate_Female_pct"/>
    <tableColumn id="10" xr3:uid="{00000000-0010-0000-0000-00000A000000}" name="Literacy_Gender_Gap_pp"/>
    <tableColumn id="11" xr3:uid="{00000000-0010-0000-0000-00000B000000}" name="Literacy_Category"/>
    <tableColumn id="12" xr3:uid="{00000000-0010-0000-0000-00000C000000}" name="Literacy_Year"/>
    <tableColumn id="13" xr3:uid="{00000000-0010-0000-0000-00000D000000}" name="Edu_Spending_pct_GDP"/>
    <tableColumn id="14" xr3:uid="{00000000-0010-0000-0000-00000E000000}" name="Education_Investment_Category"/>
    <tableColumn id="15" xr3:uid="{00000000-0010-0000-0000-00000F000000}" name="Primary_Enrollment_pct_gross"/>
    <tableColumn id="16" xr3:uid="{00000000-0010-0000-0000-000010000000}" name="Secondary_Enrollment_pct_gross"/>
    <tableColumn id="17" xr3:uid="{00000000-0010-0000-0000-000011000000}" name="Enrollment_Drop_Primary_to_Secondary_pp"/>
    <tableColumn id="18" xr3:uid="{00000000-0010-0000-0000-000012000000}" name="Out_of_School_Risk_Index"/>
    <tableColumn id="19" xr3:uid="{00000000-0010-0000-0000-000013000000}" name="Data_Estimated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zoomScaleNormal="100" workbookViewId="0">
      <selection activeCell="A17" sqref="A17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5" spans="1:1" x14ac:dyDescent="0.3">
      <c r="A5" s="3"/>
    </row>
    <row r="6" spans="1:1" x14ac:dyDescent="0.3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opLeftCell="J1" zoomScaleNormal="100" workbookViewId="0">
      <pane ySplit="1" topLeftCell="A26" activePane="bottomLeft" state="frozen"/>
      <selection pane="bottomLeft" activeCell="J27" sqref="J27"/>
    </sheetView>
  </sheetViews>
  <sheetFormatPr defaultColWidth="8.6640625" defaultRowHeight="14.4" x14ac:dyDescent="0.3"/>
  <cols>
    <col min="1" max="1" width="26" customWidth="1"/>
    <col min="2" max="3" width="17" customWidth="1"/>
    <col min="4" max="4" width="21" customWidth="1"/>
    <col min="5" max="5" width="24" customWidth="1"/>
    <col min="6" max="7" width="25" customWidth="1"/>
    <col min="8" max="8" width="24" customWidth="1"/>
    <col min="9" max="9" width="26" customWidth="1"/>
    <col min="10" max="10" width="24" customWidth="1"/>
    <col min="11" max="11" width="19" customWidth="1"/>
    <col min="12" max="12" width="15" customWidth="1"/>
    <col min="13" max="13" width="22" customWidth="1"/>
    <col min="14" max="14" width="31" customWidth="1"/>
    <col min="15" max="15" width="30" customWidth="1"/>
    <col min="16" max="17" width="32" customWidth="1"/>
    <col min="18" max="18" width="26" customWidth="1"/>
    <col min="19" max="19" width="32" customWidth="1"/>
  </cols>
  <sheetData>
    <row r="1" spans="1:19" ht="26.4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</row>
    <row r="2" spans="1:19" x14ac:dyDescent="0.3">
      <c r="A2" s="6" t="s">
        <v>28</v>
      </c>
      <c r="B2" s="6" t="s">
        <v>29</v>
      </c>
      <c r="C2" s="6">
        <v>46164219</v>
      </c>
      <c r="D2" s="6">
        <v>46.16</v>
      </c>
      <c r="E2" s="6">
        <v>19677</v>
      </c>
      <c r="F2" s="6" t="s">
        <v>30</v>
      </c>
      <c r="G2" s="6">
        <v>81.400000000000006</v>
      </c>
      <c r="H2" s="6">
        <v>87.4</v>
      </c>
      <c r="I2" s="6">
        <v>75.3</v>
      </c>
      <c r="J2" s="6">
        <v>12.1</v>
      </c>
      <c r="K2" s="6" t="s">
        <v>31</v>
      </c>
      <c r="L2" s="6">
        <v>2018</v>
      </c>
      <c r="M2" s="6">
        <v>5.6</v>
      </c>
      <c r="N2" s="6" t="s">
        <v>32</v>
      </c>
      <c r="O2" s="6">
        <v>105.8</v>
      </c>
      <c r="P2" s="6">
        <v>105.2</v>
      </c>
      <c r="Q2" s="6">
        <v>0.6</v>
      </c>
      <c r="R2" s="6">
        <v>0</v>
      </c>
      <c r="S2" s="6"/>
    </row>
    <row r="3" spans="1:19" x14ac:dyDescent="0.3">
      <c r="A3" s="6" t="s">
        <v>33</v>
      </c>
      <c r="B3" s="6" t="s">
        <v>34</v>
      </c>
      <c r="C3" s="6">
        <v>36749906</v>
      </c>
      <c r="D3" s="6">
        <v>36.75</v>
      </c>
      <c r="E3" s="6">
        <v>10446</v>
      </c>
      <c r="F3" s="6" t="s">
        <v>30</v>
      </c>
      <c r="G3" s="6">
        <v>71.099999999999994</v>
      </c>
      <c r="H3" s="6">
        <v>82</v>
      </c>
      <c r="I3" s="6">
        <v>60.7</v>
      </c>
      <c r="J3" s="6">
        <v>21.3</v>
      </c>
      <c r="K3" s="6" t="s">
        <v>31</v>
      </c>
      <c r="L3" s="6">
        <v>2015</v>
      </c>
      <c r="M3" s="6">
        <v>2.2999999999999998</v>
      </c>
      <c r="N3" s="6" t="s">
        <v>35</v>
      </c>
      <c r="O3" s="6">
        <v>113.2</v>
      </c>
      <c r="P3" s="6">
        <v>82</v>
      </c>
      <c r="Q3" s="6">
        <v>31.2</v>
      </c>
      <c r="R3" s="6">
        <v>0</v>
      </c>
      <c r="S3" s="6" t="s">
        <v>36</v>
      </c>
    </row>
    <row r="4" spans="1:19" x14ac:dyDescent="0.3">
      <c r="A4" s="6" t="s">
        <v>37</v>
      </c>
      <c r="B4" s="6" t="s">
        <v>38</v>
      </c>
      <c r="C4" s="6">
        <v>14111034</v>
      </c>
      <c r="D4" s="6">
        <v>14.11</v>
      </c>
      <c r="E4" s="6">
        <v>5088</v>
      </c>
      <c r="F4" s="6" t="s">
        <v>39</v>
      </c>
      <c r="G4" s="6">
        <v>42.4</v>
      </c>
      <c r="H4" s="6">
        <v>54</v>
      </c>
      <c r="I4" s="6">
        <v>31.1</v>
      </c>
      <c r="J4" s="6">
        <v>22.9</v>
      </c>
      <c r="K4" s="6" t="s">
        <v>40</v>
      </c>
      <c r="L4" s="6">
        <v>2018</v>
      </c>
      <c r="M4" s="6">
        <v>3.4</v>
      </c>
      <c r="N4" s="6" t="s">
        <v>35</v>
      </c>
      <c r="O4" s="6">
        <v>108</v>
      </c>
      <c r="P4" s="6">
        <v>47.6</v>
      </c>
      <c r="Q4" s="6">
        <v>60.4</v>
      </c>
      <c r="R4" s="6">
        <v>0</v>
      </c>
      <c r="S4" s="6" t="s">
        <v>41</v>
      </c>
    </row>
    <row r="5" spans="1:19" x14ac:dyDescent="0.3">
      <c r="A5" s="6" t="s">
        <v>42</v>
      </c>
      <c r="B5" s="6" t="s">
        <v>34</v>
      </c>
      <c r="C5" s="6">
        <v>2480244</v>
      </c>
      <c r="D5" s="6">
        <v>2.48</v>
      </c>
      <c r="E5" s="6">
        <v>22039</v>
      </c>
      <c r="F5" s="6" t="s">
        <v>30</v>
      </c>
      <c r="G5" s="6">
        <v>88.5</v>
      </c>
      <c r="H5" s="6">
        <v>88</v>
      </c>
      <c r="I5" s="6">
        <v>88.9</v>
      </c>
      <c r="J5" s="6">
        <v>0.9</v>
      </c>
      <c r="K5" s="6" t="s">
        <v>43</v>
      </c>
      <c r="L5" s="6">
        <v>2015</v>
      </c>
      <c r="M5" s="6">
        <v>8.1</v>
      </c>
      <c r="N5" s="6" t="s">
        <v>44</v>
      </c>
      <c r="O5" s="6">
        <v>109.3</v>
      </c>
      <c r="P5" s="6">
        <v>82</v>
      </c>
      <c r="Q5" s="6">
        <v>27.3</v>
      </c>
      <c r="R5" s="6">
        <v>0</v>
      </c>
      <c r="S5" s="6" t="s">
        <v>41</v>
      </c>
    </row>
    <row r="6" spans="1:19" x14ac:dyDescent="0.3">
      <c r="A6" s="6" t="s">
        <v>45</v>
      </c>
      <c r="B6" s="6" t="s">
        <v>38</v>
      </c>
      <c r="C6" s="6">
        <v>23025776</v>
      </c>
      <c r="D6" s="6">
        <v>23.03</v>
      </c>
      <c r="E6" s="6">
        <v>3227</v>
      </c>
      <c r="F6" s="6" t="s">
        <v>46</v>
      </c>
      <c r="G6" s="6">
        <v>39.299999999999997</v>
      </c>
      <c r="H6" s="6">
        <v>49.2</v>
      </c>
      <c r="I6" s="6">
        <v>31</v>
      </c>
      <c r="J6" s="6">
        <v>18.2</v>
      </c>
      <c r="K6" s="6" t="s">
        <v>40</v>
      </c>
      <c r="L6" s="6">
        <v>2018</v>
      </c>
      <c r="M6" s="6">
        <v>5.3</v>
      </c>
      <c r="N6" s="6" t="s">
        <v>32</v>
      </c>
      <c r="O6" s="6">
        <v>82.3</v>
      </c>
      <c r="P6" s="6">
        <v>30</v>
      </c>
      <c r="Q6" s="6">
        <v>52.3</v>
      </c>
      <c r="R6" s="6">
        <v>17.7</v>
      </c>
      <c r="S6" s="6"/>
    </row>
    <row r="7" spans="1:19" x14ac:dyDescent="0.3">
      <c r="A7" s="6" t="s">
        <v>47</v>
      </c>
      <c r="B7" s="6" t="s">
        <v>48</v>
      </c>
      <c r="C7" s="6">
        <v>13689450</v>
      </c>
      <c r="D7" s="6">
        <v>13.69</v>
      </c>
      <c r="E7" s="6">
        <v>1031</v>
      </c>
      <c r="F7" s="6" t="s">
        <v>49</v>
      </c>
      <c r="G7" s="6">
        <v>68.400000000000006</v>
      </c>
      <c r="H7" s="6">
        <v>76.3</v>
      </c>
      <c r="I7" s="6">
        <v>61.2</v>
      </c>
      <c r="J7" s="6">
        <v>15.1</v>
      </c>
      <c r="K7" s="6" t="s">
        <v>50</v>
      </c>
      <c r="L7" s="6">
        <v>2017</v>
      </c>
      <c r="M7" s="6">
        <v>4.8</v>
      </c>
      <c r="N7" s="6" t="s">
        <v>32</v>
      </c>
      <c r="O7" s="6">
        <v>98.1</v>
      </c>
      <c r="P7" s="6">
        <v>48.8</v>
      </c>
      <c r="Q7" s="6">
        <v>49.3</v>
      </c>
      <c r="R7" s="6">
        <v>1.9</v>
      </c>
      <c r="S7" s="6" t="s">
        <v>36</v>
      </c>
    </row>
    <row r="8" spans="1:19" x14ac:dyDescent="0.3">
      <c r="A8" s="6" t="s">
        <v>51</v>
      </c>
      <c r="B8" s="6" t="s">
        <v>52</v>
      </c>
      <c r="C8" s="6">
        <v>28372687</v>
      </c>
      <c r="D8" s="6">
        <v>28.37</v>
      </c>
      <c r="E8" s="6">
        <v>5993</v>
      </c>
      <c r="F8" s="6" t="s">
        <v>39</v>
      </c>
      <c r="G8" s="6">
        <v>77.099999999999994</v>
      </c>
      <c r="H8" s="6">
        <v>82.6</v>
      </c>
      <c r="I8" s="6">
        <v>71.599999999999994</v>
      </c>
      <c r="J8" s="6">
        <v>11</v>
      </c>
      <c r="K8" s="6" t="s">
        <v>31</v>
      </c>
      <c r="L8" s="6">
        <v>2018</v>
      </c>
      <c r="M8" s="6">
        <v>2.6</v>
      </c>
      <c r="N8" s="6" t="s">
        <v>35</v>
      </c>
      <c r="O8" s="6">
        <v>112.5</v>
      </c>
      <c r="P8" s="6">
        <v>23.5</v>
      </c>
      <c r="Q8" s="6">
        <v>89</v>
      </c>
      <c r="R8" s="6">
        <v>0</v>
      </c>
      <c r="S8" s="6" t="s">
        <v>41</v>
      </c>
    </row>
    <row r="9" spans="1:19" x14ac:dyDescent="0.3">
      <c r="A9" s="6" t="s">
        <v>53</v>
      </c>
      <c r="B9" s="6" t="s">
        <v>38</v>
      </c>
      <c r="C9" s="6">
        <v>522331</v>
      </c>
      <c r="D9" s="6">
        <v>0.52</v>
      </c>
      <c r="E9" s="6">
        <v>13313</v>
      </c>
      <c r="F9" s="6" t="s">
        <v>30</v>
      </c>
      <c r="G9" s="6">
        <v>86.8</v>
      </c>
      <c r="H9" s="6">
        <v>91.7</v>
      </c>
      <c r="I9" s="6">
        <v>82</v>
      </c>
      <c r="J9" s="6">
        <v>9.6999999999999993</v>
      </c>
      <c r="K9" s="6" t="s">
        <v>43</v>
      </c>
      <c r="L9" s="6">
        <v>2015</v>
      </c>
      <c r="M9" s="6">
        <v>4.7</v>
      </c>
      <c r="N9" s="6" t="s">
        <v>32</v>
      </c>
      <c r="O9" s="6">
        <v>103</v>
      </c>
      <c r="P9" s="6">
        <v>47.6</v>
      </c>
      <c r="Q9" s="6">
        <v>55.4</v>
      </c>
      <c r="R9" s="6">
        <v>0</v>
      </c>
      <c r="S9" s="6" t="s">
        <v>41</v>
      </c>
    </row>
    <row r="10" spans="1:19" x14ac:dyDescent="0.3">
      <c r="A10" s="6" t="s">
        <v>54</v>
      </c>
      <c r="B10" s="6" t="s">
        <v>52</v>
      </c>
      <c r="C10" s="6">
        <v>5152421</v>
      </c>
      <c r="D10" s="6">
        <v>5.15</v>
      </c>
      <c r="E10" s="6">
        <v>1468</v>
      </c>
      <c r="F10" s="6" t="s">
        <v>49</v>
      </c>
      <c r="G10" s="6">
        <v>37.4</v>
      </c>
      <c r="H10" s="6">
        <v>49.5</v>
      </c>
      <c r="I10" s="6">
        <v>25.8</v>
      </c>
      <c r="J10" s="6">
        <v>23.7</v>
      </c>
      <c r="K10" s="6" t="s">
        <v>40</v>
      </c>
      <c r="L10" s="6">
        <v>2018</v>
      </c>
      <c r="M10" s="6">
        <v>2.1</v>
      </c>
      <c r="N10" s="6" t="s">
        <v>35</v>
      </c>
      <c r="O10" s="6">
        <v>99.8</v>
      </c>
      <c r="P10" s="6">
        <v>23.5</v>
      </c>
      <c r="Q10" s="6">
        <v>76.3</v>
      </c>
      <c r="R10" s="6">
        <v>0.2</v>
      </c>
      <c r="S10" s="6" t="s">
        <v>36</v>
      </c>
    </row>
    <row r="11" spans="1:19" x14ac:dyDescent="0.3">
      <c r="A11" s="6" t="s">
        <v>55</v>
      </c>
      <c r="B11" s="6" t="s">
        <v>52</v>
      </c>
      <c r="C11" s="6">
        <v>19319064</v>
      </c>
      <c r="D11" s="6">
        <v>19.32</v>
      </c>
      <c r="E11" s="6">
        <v>3458</v>
      </c>
      <c r="F11" s="6" t="s">
        <v>46</v>
      </c>
      <c r="G11" s="6">
        <v>22.3</v>
      </c>
      <c r="H11" s="6">
        <v>31.3</v>
      </c>
      <c r="I11" s="6">
        <v>14</v>
      </c>
      <c r="J11" s="6">
        <v>17.3</v>
      </c>
      <c r="K11" s="6" t="s">
        <v>40</v>
      </c>
      <c r="L11" s="6">
        <v>2016</v>
      </c>
      <c r="M11" s="6">
        <v>2.5</v>
      </c>
      <c r="N11" s="6" t="s">
        <v>35</v>
      </c>
      <c r="O11" s="6">
        <v>87</v>
      </c>
      <c r="P11" s="6">
        <v>23.5</v>
      </c>
      <c r="Q11" s="6">
        <v>63.5</v>
      </c>
      <c r="R11" s="6">
        <v>13</v>
      </c>
      <c r="S11" s="6"/>
    </row>
    <row r="12" spans="1:19" x14ac:dyDescent="0.3">
      <c r="A12" s="6" t="s">
        <v>56</v>
      </c>
      <c r="B12" s="6" t="s">
        <v>48</v>
      </c>
      <c r="C12" s="6">
        <v>850387</v>
      </c>
      <c r="D12" s="6">
        <v>0.85</v>
      </c>
      <c r="E12" s="6">
        <v>4222</v>
      </c>
      <c r="F12" s="6" t="s">
        <v>46</v>
      </c>
      <c r="G12" s="6">
        <v>58.8</v>
      </c>
      <c r="H12" s="6">
        <v>64.599999999999994</v>
      </c>
      <c r="I12" s="6">
        <v>53</v>
      </c>
      <c r="J12" s="6">
        <v>11.6</v>
      </c>
      <c r="K12" s="6" t="s">
        <v>50</v>
      </c>
      <c r="L12" s="6">
        <v>2018</v>
      </c>
      <c r="M12" s="6">
        <v>2.4</v>
      </c>
      <c r="N12" s="6" t="s">
        <v>35</v>
      </c>
      <c r="O12" s="6">
        <v>98.1</v>
      </c>
      <c r="P12" s="6">
        <v>48.8</v>
      </c>
      <c r="Q12" s="6">
        <v>49.3</v>
      </c>
      <c r="R12" s="6">
        <v>1.9</v>
      </c>
      <c r="S12" s="6" t="s">
        <v>41</v>
      </c>
    </row>
    <row r="13" spans="1:19" x14ac:dyDescent="0.3">
      <c r="A13" s="6" t="s">
        <v>57</v>
      </c>
      <c r="B13" s="6" t="s">
        <v>52</v>
      </c>
      <c r="C13" s="6">
        <v>6182885</v>
      </c>
      <c r="D13" s="6">
        <v>6.18</v>
      </c>
      <c r="E13" s="6">
        <v>6712</v>
      </c>
      <c r="F13" s="6" t="s">
        <v>39</v>
      </c>
      <c r="G13" s="6">
        <v>80.3</v>
      </c>
      <c r="H13" s="6">
        <v>86.1</v>
      </c>
      <c r="I13" s="6">
        <v>74.599999999999994</v>
      </c>
      <c r="J13" s="6">
        <v>11.5</v>
      </c>
      <c r="K13" s="6" t="s">
        <v>31</v>
      </c>
      <c r="L13" s="6">
        <v>2018</v>
      </c>
      <c r="M13" s="6">
        <v>3</v>
      </c>
      <c r="N13" s="6" t="s">
        <v>35</v>
      </c>
      <c r="O13" s="6">
        <v>99.8</v>
      </c>
      <c r="P13" s="6">
        <v>23.5</v>
      </c>
      <c r="Q13" s="6">
        <v>76.3</v>
      </c>
      <c r="R13" s="6">
        <v>0.2</v>
      </c>
      <c r="S13" s="6" t="s">
        <v>36</v>
      </c>
    </row>
    <row r="14" spans="1:19" x14ac:dyDescent="0.3">
      <c r="A14" s="6" t="s">
        <v>58</v>
      </c>
      <c r="B14" s="6" t="s">
        <v>52</v>
      </c>
      <c r="C14" s="6">
        <v>105789731</v>
      </c>
      <c r="D14" s="6">
        <v>105.79</v>
      </c>
      <c r="E14" s="6">
        <v>2144</v>
      </c>
      <c r="F14" s="6" t="s">
        <v>46</v>
      </c>
      <c r="G14" s="6">
        <v>77</v>
      </c>
      <c r="H14" s="6">
        <v>88.5</v>
      </c>
      <c r="I14" s="6">
        <v>66.5</v>
      </c>
      <c r="J14" s="6">
        <v>22</v>
      </c>
      <c r="K14" s="6" t="s">
        <v>31</v>
      </c>
      <c r="L14" s="6">
        <v>2016</v>
      </c>
      <c r="M14" s="6">
        <v>3</v>
      </c>
      <c r="N14" s="6" t="s">
        <v>35</v>
      </c>
      <c r="O14" s="6">
        <v>99.8</v>
      </c>
      <c r="P14" s="6">
        <v>23.5</v>
      </c>
      <c r="Q14" s="6">
        <v>76.3</v>
      </c>
      <c r="R14" s="6">
        <v>0.2</v>
      </c>
      <c r="S14" s="6" t="s">
        <v>36</v>
      </c>
    </row>
    <row r="15" spans="1:19" x14ac:dyDescent="0.3">
      <c r="A15" s="6" t="s">
        <v>59</v>
      </c>
      <c r="B15" s="6" t="s">
        <v>48</v>
      </c>
      <c r="C15" s="6">
        <v>1152944</v>
      </c>
      <c r="D15" s="6">
        <v>1.1499999999999999</v>
      </c>
      <c r="E15" s="6">
        <v>10166</v>
      </c>
      <c r="F15" s="6" t="s">
        <v>30</v>
      </c>
      <c r="G15" s="6">
        <v>74.8</v>
      </c>
      <c r="H15" s="6">
        <v>78.400000000000006</v>
      </c>
      <c r="I15" s="6">
        <v>69.400000000000006</v>
      </c>
      <c r="J15" s="6">
        <v>11.4</v>
      </c>
      <c r="K15" s="6" t="s">
        <v>31</v>
      </c>
      <c r="L15" s="6">
        <v>2018</v>
      </c>
      <c r="M15" s="6">
        <v>3.8</v>
      </c>
      <c r="N15" s="6" t="s">
        <v>35</v>
      </c>
      <c r="O15" s="6">
        <v>98.1</v>
      </c>
      <c r="P15" s="6">
        <v>48.8</v>
      </c>
      <c r="Q15" s="6">
        <v>49.3</v>
      </c>
      <c r="R15" s="6">
        <v>1.9</v>
      </c>
      <c r="S15" s="6" t="s">
        <v>60</v>
      </c>
    </row>
    <row r="16" spans="1:19" x14ac:dyDescent="0.3">
      <c r="A16" s="6" t="s">
        <v>61</v>
      </c>
      <c r="B16" s="6" t="s">
        <v>29</v>
      </c>
      <c r="C16" s="6">
        <v>114535772</v>
      </c>
      <c r="D16" s="6">
        <v>114.54</v>
      </c>
      <c r="E16" s="6">
        <v>23321</v>
      </c>
      <c r="F16" s="6" t="s">
        <v>30</v>
      </c>
      <c r="G16" s="6">
        <v>71.2</v>
      </c>
      <c r="H16" s="6">
        <v>76.5</v>
      </c>
      <c r="I16" s="6">
        <v>65.5</v>
      </c>
      <c r="J16" s="6">
        <v>11</v>
      </c>
      <c r="K16" s="6" t="s">
        <v>31</v>
      </c>
      <c r="L16" s="6">
        <v>2017</v>
      </c>
      <c r="M16" s="6">
        <v>3.9</v>
      </c>
      <c r="N16" s="6" t="s">
        <v>35</v>
      </c>
      <c r="O16" s="6">
        <v>89.5</v>
      </c>
      <c r="P16" s="6">
        <v>84.8</v>
      </c>
      <c r="Q16" s="6">
        <v>4.7</v>
      </c>
      <c r="R16" s="6">
        <v>10.5</v>
      </c>
      <c r="S16" s="6"/>
    </row>
    <row r="17" spans="1:19" x14ac:dyDescent="0.3">
      <c r="A17" s="6" t="s">
        <v>62</v>
      </c>
      <c r="B17" s="6" t="s">
        <v>52</v>
      </c>
      <c r="C17" s="6">
        <v>1847549</v>
      </c>
      <c r="D17" s="6">
        <v>1.85</v>
      </c>
      <c r="E17" s="6">
        <v>19061</v>
      </c>
      <c r="F17" s="6" t="s">
        <v>30</v>
      </c>
      <c r="G17" s="6">
        <v>95.3</v>
      </c>
      <c r="H17" s="6">
        <v>97.4</v>
      </c>
      <c r="I17" s="6">
        <v>93</v>
      </c>
      <c r="J17" s="6">
        <v>4.4000000000000004</v>
      </c>
      <c r="K17" s="6" t="s">
        <v>43</v>
      </c>
      <c r="L17" s="6">
        <v>2015</v>
      </c>
      <c r="M17" s="6">
        <v>0.6</v>
      </c>
      <c r="N17" s="6" t="s">
        <v>63</v>
      </c>
      <c r="O17" s="6">
        <v>99.8</v>
      </c>
      <c r="P17" s="6">
        <v>23.5</v>
      </c>
      <c r="Q17" s="6">
        <v>76.3</v>
      </c>
      <c r="R17" s="6">
        <v>0.2</v>
      </c>
      <c r="S17" s="6" t="s">
        <v>36</v>
      </c>
    </row>
    <row r="18" spans="1:19" x14ac:dyDescent="0.3">
      <c r="A18" s="6" t="s">
        <v>64</v>
      </c>
      <c r="B18" s="6" t="s">
        <v>48</v>
      </c>
      <c r="C18" s="6">
        <v>3470390</v>
      </c>
      <c r="D18" s="6">
        <v>3.47</v>
      </c>
      <c r="E18" s="6">
        <v>4372</v>
      </c>
      <c r="F18" s="6" t="s">
        <v>46</v>
      </c>
      <c r="G18" s="6">
        <v>76.599999999999994</v>
      </c>
      <c r="H18" s="6">
        <v>84.4</v>
      </c>
      <c r="I18" s="6">
        <v>68.900000000000006</v>
      </c>
      <c r="J18" s="6">
        <v>15.5</v>
      </c>
      <c r="K18" s="6" t="s">
        <v>31</v>
      </c>
      <c r="L18" s="6">
        <v>2018</v>
      </c>
      <c r="M18" s="6">
        <v>2.1</v>
      </c>
      <c r="N18" s="6" t="s">
        <v>35</v>
      </c>
      <c r="O18" s="6">
        <v>89.7</v>
      </c>
      <c r="P18" s="6">
        <v>48.8</v>
      </c>
      <c r="Q18" s="6">
        <v>40.9</v>
      </c>
      <c r="R18" s="6">
        <v>10.3</v>
      </c>
      <c r="S18" s="6" t="s">
        <v>65</v>
      </c>
    </row>
    <row r="19" spans="1:19" x14ac:dyDescent="0.3">
      <c r="A19" s="6" t="s">
        <v>66</v>
      </c>
      <c r="B19" s="6" t="s">
        <v>34</v>
      </c>
      <c r="C19" s="6">
        <v>1230506</v>
      </c>
      <c r="D19" s="6">
        <v>1.23</v>
      </c>
      <c r="E19" s="6">
        <v>14244</v>
      </c>
      <c r="F19" s="6" t="s">
        <v>30</v>
      </c>
      <c r="G19" s="6">
        <v>88.4</v>
      </c>
      <c r="H19" s="6">
        <v>88.3</v>
      </c>
      <c r="I19" s="6">
        <v>88.5</v>
      </c>
      <c r="J19" s="6">
        <v>0.2</v>
      </c>
      <c r="K19" s="6" t="s">
        <v>43</v>
      </c>
      <c r="L19" s="6">
        <v>2018</v>
      </c>
      <c r="M19" s="6">
        <v>6.3</v>
      </c>
      <c r="N19" s="6" t="s">
        <v>44</v>
      </c>
      <c r="O19" s="6">
        <v>117.2</v>
      </c>
      <c r="P19" s="6">
        <v>82</v>
      </c>
      <c r="Q19" s="6">
        <v>35.200000000000003</v>
      </c>
      <c r="R19" s="6">
        <v>0</v>
      </c>
      <c r="S19" s="6" t="s">
        <v>41</v>
      </c>
    </row>
    <row r="20" spans="1:19" x14ac:dyDescent="0.3">
      <c r="A20" s="6" t="s">
        <v>67</v>
      </c>
      <c r="B20" s="6" t="s">
        <v>48</v>
      </c>
      <c r="C20" s="6">
        <v>128691692</v>
      </c>
      <c r="D20" s="6">
        <v>128.69</v>
      </c>
      <c r="E20" s="6">
        <v>4974</v>
      </c>
      <c r="F20" s="6" t="s">
        <v>46</v>
      </c>
      <c r="G20" s="6">
        <v>51.8</v>
      </c>
      <c r="H20" s="6">
        <v>57.2</v>
      </c>
      <c r="I20" s="6">
        <v>44.4</v>
      </c>
      <c r="J20" s="6">
        <v>12.8</v>
      </c>
      <c r="K20" s="6" t="s">
        <v>50</v>
      </c>
      <c r="L20" s="6">
        <v>2017</v>
      </c>
      <c r="M20" s="6">
        <v>3.7</v>
      </c>
      <c r="N20" s="6" t="s">
        <v>35</v>
      </c>
      <c r="O20" s="6">
        <v>84.6</v>
      </c>
      <c r="P20" s="6">
        <v>48.8</v>
      </c>
      <c r="Q20" s="6">
        <v>35.799999999999997</v>
      </c>
      <c r="R20" s="6">
        <v>15.4</v>
      </c>
      <c r="S20" s="6" t="s">
        <v>41</v>
      </c>
    </row>
    <row r="21" spans="1:19" x14ac:dyDescent="0.3">
      <c r="A21" s="6" t="s">
        <v>68</v>
      </c>
      <c r="B21" s="6" t="s">
        <v>52</v>
      </c>
      <c r="C21" s="6">
        <v>2484789</v>
      </c>
      <c r="D21" s="6">
        <v>2.48</v>
      </c>
      <c r="E21" s="6">
        <v>25847</v>
      </c>
      <c r="F21" s="6" t="s">
        <v>30</v>
      </c>
      <c r="G21" s="6">
        <v>84.7</v>
      </c>
      <c r="H21" s="6">
        <v>85.9</v>
      </c>
      <c r="I21" s="6">
        <v>83.4</v>
      </c>
      <c r="J21" s="6">
        <v>2.5</v>
      </c>
      <c r="K21" s="6" t="s">
        <v>31</v>
      </c>
      <c r="L21" s="6">
        <v>2018</v>
      </c>
      <c r="M21" s="6">
        <v>2.2000000000000002</v>
      </c>
      <c r="N21" s="6" t="s">
        <v>35</v>
      </c>
      <c r="O21" s="6">
        <v>99.8</v>
      </c>
      <c r="P21" s="6">
        <v>23.5</v>
      </c>
      <c r="Q21" s="6">
        <v>76.3</v>
      </c>
      <c r="R21" s="6">
        <v>0.2</v>
      </c>
      <c r="S21" s="6" t="s">
        <v>36</v>
      </c>
    </row>
    <row r="22" spans="1:19" x14ac:dyDescent="0.3">
      <c r="A22" s="6" t="s">
        <v>69</v>
      </c>
      <c r="B22" s="6" t="s">
        <v>38</v>
      </c>
      <c r="C22" s="6">
        <v>2697845</v>
      </c>
      <c r="D22" s="6">
        <v>2.7</v>
      </c>
      <c r="E22" s="6">
        <v>3865</v>
      </c>
      <c r="F22" s="6" t="s">
        <v>46</v>
      </c>
      <c r="G22" s="6">
        <v>50.8</v>
      </c>
      <c r="H22" s="6">
        <v>61.8</v>
      </c>
      <c r="I22" s="6">
        <v>41.6</v>
      </c>
      <c r="J22" s="6">
        <v>20.2</v>
      </c>
      <c r="K22" s="6" t="s">
        <v>50</v>
      </c>
      <c r="L22" s="6">
        <v>2015</v>
      </c>
      <c r="M22" s="6">
        <v>2.7</v>
      </c>
      <c r="N22" s="6" t="s">
        <v>35</v>
      </c>
      <c r="O22" s="6">
        <v>97.3</v>
      </c>
      <c r="P22" s="6">
        <v>47.6</v>
      </c>
      <c r="Q22" s="6">
        <v>49.7</v>
      </c>
      <c r="R22" s="6">
        <v>2.7</v>
      </c>
      <c r="S22" s="6" t="s">
        <v>41</v>
      </c>
    </row>
    <row r="23" spans="1:19" x14ac:dyDescent="0.3">
      <c r="A23" s="6" t="s">
        <v>70</v>
      </c>
      <c r="B23" s="6" t="s">
        <v>38</v>
      </c>
      <c r="C23" s="6">
        <v>33787914</v>
      </c>
      <c r="D23" s="6">
        <v>33.79</v>
      </c>
      <c r="E23" s="6">
        <v>9116</v>
      </c>
      <c r="F23" s="6" t="s">
        <v>39</v>
      </c>
      <c r="G23" s="6">
        <v>79</v>
      </c>
      <c r="H23" s="6">
        <v>83.5</v>
      </c>
      <c r="I23" s="6">
        <v>74.5</v>
      </c>
      <c r="J23" s="6">
        <v>9</v>
      </c>
      <c r="K23" s="6" t="s">
        <v>31</v>
      </c>
      <c r="L23" s="6">
        <v>2018</v>
      </c>
      <c r="M23" s="6">
        <v>2.9</v>
      </c>
      <c r="N23" s="6" t="s">
        <v>35</v>
      </c>
      <c r="O23" s="6">
        <v>98.2</v>
      </c>
      <c r="P23" s="6">
        <v>75.7</v>
      </c>
      <c r="Q23" s="6">
        <v>22.5</v>
      </c>
      <c r="R23" s="6">
        <v>1.8</v>
      </c>
      <c r="S23" s="6"/>
    </row>
    <row r="24" spans="1:19" x14ac:dyDescent="0.3">
      <c r="A24" s="6" t="s">
        <v>71</v>
      </c>
      <c r="B24" s="6" t="s">
        <v>38</v>
      </c>
      <c r="C24" s="6">
        <v>14405465</v>
      </c>
      <c r="D24" s="6">
        <v>14.41</v>
      </c>
      <c r="E24" s="6">
        <v>5177</v>
      </c>
      <c r="F24" s="6" t="s">
        <v>39</v>
      </c>
      <c r="G24" s="6">
        <v>39.6</v>
      </c>
      <c r="H24" s="6">
        <v>54.4</v>
      </c>
      <c r="I24" s="6">
        <v>27.7</v>
      </c>
      <c r="J24" s="6">
        <v>26.7</v>
      </c>
      <c r="K24" s="6" t="s">
        <v>40</v>
      </c>
      <c r="L24" s="6">
        <v>2018</v>
      </c>
      <c r="M24" s="6">
        <v>2</v>
      </c>
      <c r="N24" s="6" t="s">
        <v>63</v>
      </c>
      <c r="O24" s="6">
        <v>97.3</v>
      </c>
      <c r="P24" s="6">
        <v>47.6</v>
      </c>
      <c r="Q24" s="6">
        <v>49.7</v>
      </c>
      <c r="R24" s="6">
        <v>2.7</v>
      </c>
      <c r="S24" s="6" t="s">
        <v>36</v>
      </c>
    </row>
    <row r="25" spans="1:19" x14ac:dyDescent="0.3">
      <c r="A25" s="6" t="s">
        <v>72</v>
      </c>
      <c r="B25" s="6" t="s">
        <v>38</v>
      </c>
      <c r="C25" s="6">
        <v>2153339</v>
      </c>
      <c r="D25" s="6">
        <v>2.15</v>
      </c>
      <c r="E25" s="6">
        <v>3405</v>
      </c>
      <c r="F25" s="6" t="s">
        <v>46</v>
      </c>
      <c r="G25" s="6">
        <v>59.9</v>
      </c>
      <c r="H25" s="6">
        <v>71.8</v>
      </c>
      <c r="I25" s="6">
        <v>48.3</v>
      </c>
      <c r="J25" s="6">
        <v>23.5</v>
      </c>
      <c r="K25" s="6" t="s">
        <v>50</v>
      </c>
      <c r="L25" s="6">
        <v>2015</v>
      </c>
      <c r="M25" s="6">
        <v>2</v>
      </c>
      <c r="N25" s="6" t="s">
        <v>63</v>
      </c>
      <c r="O25" s="6">
        <v>97.3</v>
      </c>
      <c r="P25" s="6">
        <v>47.6</v>
      </c>
      <c r="Q25" s="6">
        <v>49.7</v>
      </c>
      <c r="R25" s="6">
        <v>2.7</v>
      </c>
      <c r="S25" s="6" t="s">
        <v>36</v>
      </c>
    </row>
    <row r="26" spans="1:19" x14ac:dyDescent="0.3">
      <c r="A26" s="6" t="s">
        <v>73</v>
      </c>
      <c r="B26" s="6" t="s">
        <v>38</v>
      </c>
      <c r="C26" s="6">
        <v>31165654</v>
      </c>
      <c r="D26" s="6">
        <v>31.17</v>
      </c>
      <c r="E26" s="6">
        <v>8672</v>
      </c>
      <c r="F26" s="6" t="s">
        <v>39</v>
      </c>
      <c r="G26" s="6">
        <v>89.9</v>
      </c>
      <c r="H26" s="6">
        <v>93.1</v>
      </c>
      <c r="I26" s="6">
        <v>86.7</v>
      </c>
      <c r="J26" s="6">
        <v>6.4</v>
      </c>
      <c r="K26" s="6" t="s">
        <v>43</v>
      </c>
      <c r="L26" s="6">
        <v>2019</v>
      </c>
      <c r="M26" s="6">
        <v>3.4</v>
      </c>
      <c r="N26" s="6" t="s">
        <v>35</v>
      </c>
      <c r="O26" s="6">
        <v>86.4</v>
      </c>
      <c r="P26" s="6">
        <v>65.3</v>
      </c>
      <c r="Q26" s="6">
        <v>21.1</v>
      </c>
      <c r="R26" s="6">
        <v>13.6</v>
      </c>
      <c r="S26" s="6"/>
    </row>
    <row r="27" spans="1:19" x14ac:dyDescent="0.3">
      <c r="A27" s="6" t="s">
        <v>74</v>
      </c>
      <c r="B27" s="6" t="s">
        <v>48</v>
      </c>
      <c r="C27" s="6">
        <v>55339003</v>
      </c>
      <c r="D27" s="6">
        <v>55.34</v>
      </c>
      <c r="E27" s="6">
        <v>8020</v>
      </c>
      <c r="F27" s="6" t="s">
        <v>39</v>
      </c>
      <c r="G27" s="6">
        <v>81.5</v>
      </c>
      <c r="H27" s="6">
        <v>85</v>
      </c>
      <c r="I27" s="6">
        <v>78.2</v>
      </c>
      <c r="J27" s="6">
        <v>6.8</v>
      </c>
      <c r="K27" s="6" t="s">
        <v>31</v>
      </c>
      <c r="L27" s="6">
        <v>2018</v>
      </c>
      <c r="M27" s="6">
        <v>4</v>
      </c>
      <c r="N27" s="6" t="s">
        <v>35</v>
      </c>
      <c r="O27" s="6">
        <v>98.6</v>
      </c>
      <c r="P27" s="6">
        <v>48.8</v>
      </c>
      <c r="Q27" s="6">
        <v>49.8</v>
      </c>
      <c r="R27" s="6">
        <v>1.4</v>
      </c>
      <c r="S27" s="6" t="s">
        <v>41</v>
      </c>
    </row>
    <row r="28" spans="1:19" x14ac:dyDescent="0.3">
      <c r="A28" s="6" t="s">
        <v>75</v>
      </c>
      <c r="B28" s="6" t="s">
        <v>34</v>
      </c>
      <c r="C28" s="6">
        <v>2311472</v>
      </c>
      <c r="D28" s="6">
        <v>2.31</v>
      </c>
      <c r="E28" s="6">
        <v>3300</v>
      </c>
      <c r="F28" s="6" t="s">
        <v>46</v>
      </c>
      <c r="G28" s="6">
        <v>79.400000000000006</v>
      </c>
      <c r="H28" s="6">
        <v>70.099999999999994</v>
      </c>
      <c r="I28" s="6">
        <v>88.3</v>
      </c>
      <c r="J28" s="6">
        <v>-18.2</v>
      </c>
      <c r="K28" s="6" t="s">
        <v>31</v>
      </c>
      <c r="L28" s="6">
        <v>2015</v>
      </c>
      <c r="M28" s="6">
        <v>6.7</v>
      </c>
      <c r="N28" s="6" t="s">
        <v>44</v>
      </c>
      <c r="O28" s="6">
        <v>83.6</v>
      </c>
      <c r="P28" s="6">
        <v>82</v>
      </c>
      <c r="Q28" s="6">
        <v>1.6</v>
      </c>
      <c r="R28" s="6">
        <v>16.399999999999999</v>
      </c>
      <c r="S28" s="6" t="s">
        <v>41</v>
      </c>
    </row>
    <row r="29" spans="1:19" x14ac:dyDescent="0.3">
      <c r="A29" s="6" t="s">
        <v>76</v>
      </c>
      <c r="B29" s="6" t="s">
        <v>38</v>
      </c>
      <c r="C29" s="6">
        <v>5493031</v>
      </c>
      <c r="D29" s="6">
        <v>5.49</v>
      </c>
      <c r="E29" s="6">
        <v>2095</v>
      </c>
      <c r="F29" s="6" t="s">
        <v>46</v>
      </c>
      <c r="G29" s="6">
        <v>48.3</v>
      </c>
      <c r="H29" s="6">
        <v>62.7</v>
      </c>
      <c r="I29" s="6">
        <v>34.1</v>
      </c>
      <c r="J29" s="6">
        <v>28.6</v>
      </c>
      <c r="K29" s="6" t="s">
        <v>40</v>
      </c>
      <c r="L29" s="6">
        <v>2017</v>
      </c>
      <c r="M29" s="6">
        <v>2.2999999999999998</v>
      </c>
      <c r="N29" s="6" t="s">
        <v>35</v>
      </c>
      <c r="O29" s="6">
        <v>66.599999999999994</v>
      </c>
      <c r="P29" s="6">
        <v>47.6</v>
      </c>
      <c r="Q29" s="6">
        <v>19</v>
      </c>
      <c r="R29" s="6">
        <v>33.4</v>
      </c>
      <c r="S29" s="6" t="s">
        <v>41</v>
      </c>
    </row>
    <row r="30" spans="1:19" x14ac:dyDescent="0.3">
      <c r="A30" s="6" t="s">
        <v>77</v>
      </c>
      <c r="B30" s="6" t="s">
        <v>29</v>
      </c>
      <c r="C30" s="6">
        <v>7305659</v>
      </c>
      <c r="D30" s="6">
        <v>7.31</v>
      </c>
      <c r="E30" s="6">
        <v>18749</v>
      </c>
      <c r="F30" s="6" t="s">
        <v>30</v>
      </c>
      <c r="G30" s="6">
        <v>91</v>
      </c>
      <c r="H30" s="6">
        <v>96.7</v>
      </c>
      <c r="I30" s="6">
        <v>85.6</v>
      </c>
      <c r="J30" s="6">
        <v>11.1</v>
      </c>
      <c r="K30" s="6" t="s">
        <v>43</v>
      </c>
      <c r="L30" s="6">
        <v>2015</v>
      </c>
      <c r="M30" s="6">
        <v>2.2999999999999998</v>
      </c>
      <c r="N30" s="6" t="s">
        <v>35</v>
      </c>
      <c r="O30" s="6">
        <v>104.9</v>
      </c>
      <c r="P30" s="6">
        <v>90</v>
      </c>
      <c r="Q30" s="6">
        <v>14.9</v>
      </c>
      <c r="R30" s="6">
        <v>0</v>
      </c>
      <c r="S30" s="6" t="s">
        <v>36</v>
      </c>
    </row>
    <row r="31" spans="1:19" x14ac:dyDescent="0.3">
      <c r="A31" s="6" t="s">
        <v>78</v>
      </c>
      <c r="B31" s="6" t="s">
        <v>48</v>
      </c>
      <c r="C31" s="6">
        <v>31195932</v>
      </c>
      <c r="D31" s="6">
        <v>31.2</v>
      </c>
      <c r="E31" s="6">
        <v>2106</v>
      </c>
      <c r="F31" s="6" t="s">
        <v>46</v>
      </c>
      <c r="G31" s="6">
        <v>76.7</v>
      </c>
      <c r="H31" s="6">
        <v>78.400000000000006</v>
      </c>
      <c r="I31" s="6">
        <v>75.099999999999994</v>
      </c>
      <c r="J31" s="6">
        <v>3.3</v>
      </c>
      <c r="K31" s="6" t="s">
        <v>31</v>
      </c>
      <c r="L31" s="6">
        <v>2018</v>
      </c>
      <c r="M31" s="6">
        <v>3.1</v>
      </c>
      <c r="N31" s="6" t="s">
        <v>35</v>
      </c>
      <c r="O31" s="6">
        <v>132.9</v>
      </c>
      <c r="P31" s="6">
        <v>48.8</v>
      </c>
      <c r="Q31" s="6">
        <v>84.1</v>
      </c>
      <c r="R31" s="6">
        <v>0</v>
      </c>
      <c r="S31" s="6" t="s">
        <v>41</v>
      </c>
    </row>
    <row r="32" spans="1:19" x14ac:dyDescent="0.3">
      <c r="A32" s="6" t="s">
        <v>79</v>
      </c>
      <c r="B32" s="6" t="s">
        <v>34</v>
      </c>
      <c r="C32" s="6">
        <v>21104482</v>
      </c>
      <c r="D32" s="6">
        <v>21.1</v>
      </c>
      <c r="E32" s="6">
        <v>1797</v>
      </c>
      <c r="F32" s="6" t="s">
        <v>49</v>
      </c>
      <c r="G32" s="6">
        <v>62.1</v>
      </c>
      <c r="H32" s="6">
        <v>69.8</v>
      </c>
      <c r="I32" s="6">
        <v>55.2</v>
      </c>
      <c r="J32" s="6">
        <v>14.6</v>
      </c>
      <c r="K32" s="6" t="s">
        <v>50</v>
      </c>
      <c r="L32" s="6">
        <v>2015</v>
      </c>
      <c r="M32" s="6">
        <v>3.3</v>
      </c>
      <c r="N32" s="6" t="s">
        <v>35</v>
      </c>
      <c r="O32" s="6">
        <v>126.6</v>
      </c>
      <c r="P32" s="6">
        <v>82</v>
      </c>
      <c r="Q32" s="6">
        <v>44.6</v>
      </c>
      <c r="R32" s="6">
        <v>0</v>
      </c>
      <c r="S32" s="6" t="s">
        <v>41</v>
      </c>
    </row>
    <row r="33" spans="1:19" x14ac:dyDescent="0.3">
      <c r="A33" s="6" t="s">
        <v>80</v>
      </c>
      <c r="B33" s="6" t="s">
        <v>38</v>
      </c>
      <c r="C33" s="6">
        <v>23769127</v>
      </c>
      <c r="D33" s="6">
        <v>23.77</v>
      </c>
      <c r="E33" s="6">
        <v>3665</v>
      </c>
      <c r="F33" s="6" t="s">
        <v>46</v>
      </c>
      <c r="G33" s="6">
        <v>35.5</v>
      </c>
      <c r="H33" s="6">
        <v>46.2</v>
      </c>
      <c r="I33" s="6">
        <v>25.7</v>
      </c>
      <c r="J33" s="6">
        <v>20.5</v>
      </c>
      <c r="K33" s="6" t="s">
        <v>40</v>
      </c>
      <c r="L33" s="6">
        <v>2018</v>
      </c>
      <c r="M33" s="6">
        <v>4</v>
      </c>
      <c r="N33" s="6" t="s">
        <v>35</v>
      </c>
      <c r="O33" s="6">
        <v>97.3</v>
      </c>
      <c r="P33" s="6">
        <v>47.6</v>
      </c>
      <c r="Q33" s="6">
        <v>49.7</v>
      </c>
      <c r="R33" s="6">
        <v>2.7</v>
      </c>
      <c r="S33" s="6" t="s">
        <v>36</v>
      </c>
    </row>
    <row r="34" spans="1:19" x14ac:dyDescent="0.3">
      <c r="A34" s="6" t="s">
        <v>81</v>
      </c>
      <c r="B34" s="6" t="s">
        <v>38</v>
      </c>
      <c r="C34" s="6">
        <v>5022441</v>
      </c>
      <c r="D34" s="6">
        <v>5.0199999999999996</v>
      </c>
      <c r="E34" s="6">
        <v>9280</v>
      </c>
      <c r="F34" s="6" t="s">
        <v>39</v>
      </c>
      <c r="G34" s="6">
        <v>53.5</v>
      </c>
      <c r="H34" s="6">
        <v>63.7</v>
      </c>
      <c r="I34" s="6">
        <v>43.4</v>
      </c>
      <c r="J34" s="6">
        <v>20.3</v>
      </c>
      <c r="K34" s="6" t="s">
        <v>50</v>
      </c>
      <c r="L34" s="6">
        <v>2017</v>
      </c>
      <c r="M34" s="6">
        <v>2.6</v>
      </c>
      <c r="N34" s="6" t="s">
        <v>35</v>
      </c>
      <c r="O34" s="6">
        <v>97.3</v>
      </c>
      <c r="P34" s="6">
        <v>47.6</v>
      </c>
      <c r="Q34" s="6">
        <v>49.7</v>
      </c>
      <c r="R34" s="6">
        <v>2.7</v>
      </c>
      <c r="S34" s="6" t="s">
        <v>36</v>
      </c>
    </row>
    <row r="35" spans="1:19" x14ac:dyDescent="0.3">
      <c r="A35" s="6" t="s">
        <v>82</v>
      </c>
      <c r="B35" s="6" t="s">
        <v>34</v>
      </c>
      <c r="C35" s="6">
        <v>1273588</v>
      </c>
      <c r="D35" s="6">
        <v>1.27</v>
      </c>
      <c r="E35" s="6">
        <v>34830</v>
      </c>
      <c r="F35" s="6" t="s">
        <v>30</v>
      </c>
      <c r="G35" s="6">
        <v>91.3</v>
      </c>
      <c r="H35" s="6">
        <v>93.4</v>
      </c>
      <c r="I35" s="6">
        <v>89.4</v>
      </c>
      <c r="J35" s="6">
        <v>4</v>
      </c>
      <c r="K35" s="6" t="s">
        <v>43</v>
      </c>
      <c r="L35" s="6">
        <v>2018</v>
      </c>
      <c r="M35" s="6">
        <v>4.5999999999999996</v>
      </c>
      <c r="N35" s="6" t="s">
        <v>32</v>
      </c>
      <c r="O35" s="6">
        <v>113.2</v>
      </c>
      <c r="P35" s="6">
        <v>90.7</v>
      </c>
      <c r="Q35" s="6">
        <v>22.5</v>
      </c>
      <c r="R35" s="6">
        <v>0</v>
      </c>
      <c r="S35" s="6" t="s">
        <v>83</v>
      </c>
    </row>
    <row r="36" spans="1:19" x14ac:dyDescent="0.3">
      <c r="A36" s="6" t="s">
        <v>84</v>
      </c>
      <c r="B36" s="6" t="s">
        <v>29</v>
      </c>
      <c r="C36" s="6">
        <v>37712505</v>
      </c>
      <c r="D36" s="6">
        <v>37.71</v>
      </c>
      <c r="E36" s="6">
        <v>12336</v>
      </c>
      <c r="F36" s="6" t="s">
        <v>30</v>
      </c>
      <c r="G36" s="6">
        <v>73.8</v>
      </c>
      <c r="H36" s="6">
        <v>83.3</v>
      </c>
      <c r="I36" s="6">
        <v>64.599999999999994</v>
      </c>
      <c r="J36" s="6">
        <v>18.7</v>
      </c>
      <c r="K36" s="6" t="s">
        <v>31</v>
      </c>
      <c r="L36" s="6">
        <v>2018</v>
      </c>
      <c r="M36" s="6">
        <v>6</v>
      </c>
      <c r="N36" s="6" t="s">
        <v>32</v>
      </c>
      <c r="O36" s="6">
        <v>116.6</v>
      </c>
      <c r="P36" s="6">
        <v>90</v>
      </c>
      <c r="Q36" s="6">
        <v>26.6</v>
      </c>
      <c r="R36" s="6">
        <v>0</v>
      </c>
      <c r="S36" s="6"/>
    </row>
    <row r="37" spans="1:19" x14ac:dyDescent="0.3">
      <c r="A37" s="6" t="s">
        <v>85</v>
      </c>
      <c r="B37" s="6" t="s">
        <v>34</v>
      </c>
      <c r="C37" s="6">
        <v>33635160</v>
      </c>
      <c r="D37" s="6">
        <v>33.64</v>
      </c>
      <c r="E37" s="6">
        <v>1699</v>
      </c>
      <c r="F37" s="6" t="s">
        <v>49</v>
      </c>
      <c r="G37" s="6">
        <v>60.7</v>
      </c>
      <c r="H37" s="6">
        <v>72.599999999999994</v>
      </c>
      <c r="I37" s="6">
        <v>50.3</v>
      </c>
      <c r="J37" s="6">
        <v>22.3</v>
      </c>
      <c r="K37" s="6" t="s">
        <v>50</v>
      </c>
      <c r="L37" s="6">
        <v>2017</v>
      </c>
      <c r="M37" s="6">
        <v>6.2</v>
      </c>
      <c r="N37" s="6" t="s">
        <v>44</v>
      </c>
      <c r="O37" s="6">
        <v>119.2</v>
      </c>
      <c r="P37" s="6">
        <v>82</v>
      </c>
      <c r="Q37" s="6">
        <v>37.200000000000003</v>
      </c>
      <c r="R37" s="6">
        <v>0</v>
      </c>
      <c r="S37" s="6" t="s">
        <v>41</v>
      </c>
    </row>
    <row r="38" spans="1:19" x14ac:dyDescent="0.3">
      <c r="A38" s="6" t="s">
        <v>86</v>
      </c>
      <c r="B38" s="6" t="s">
        <v>34</v>
      </c>
      <c r="C38" s="6">
        <v>2963095</v>
      </c>
      <c r="D38" s="6">
        <v>2.96</v>
      </c>
      <c r="E38" s="6">
        <v>12666</v>
      </c>
      <c r="F38" s="6" t="s">
        <v>30</v>
      </c>
      <c r="G38" s="6">
        <v>91.5</v>
      </c>
      <c r="H38" s="6">
        <v>91.6</v>
      </c>
      <c r="I38" s="6">
        <v>91.4</v>
      </c>
      <c r="J38" s="6">
        <v>0.2</v>
      </c>
      <c r="K38" s="6" t="s">
        <v>43</v>
      </c>
      <c r="L38" s="6">
        <v>2018</v>
      </c>
      <c r="M38" s="6">
        <v>9</v>
      </c>
      <c r="N38" s="6" t="s">
        <v>44</v>
      </c>
      <c r="O38" s="6">
        <v>120.3</v>
      </c>
      <c r="P38" s="6">
        <v>82</v>
      </c>
      <c r="Q38" s="6">
        <v>38.299999999999997</v>
      </c>
      <c r="R38" s="6">
        <v>0</v>
      </c>
      <c r="S38" s="6"/>
    </row>
    <row r="39" spans="1:19" x14ac:dyDescent="0.3">
      <c r="A39" s="6" t="s">
        <v>87</v>
      </c>
      <c r="B39" s="6" t="s">
        <v>38</v>
      </c>
      <c r="C39" s="6">
        <v>26159867</v>
      </c>
      <c r="D39" s="6">
        <v>26.16</v>
      </c>
      <c r="E39" s="6">
        <v>2232</v>
      </c>
      <c r="F39" s="6" t="s">
        <v>46</v>
      </c>
      <c r="G39" s="6">
        <v>35.1</v>
      </c>
      <c r="H39" s="6">
        <v>43.6</v>
      </c>
      <c r="I39" s="6">
        <v>26.7</v>
      </c>
      <c r="J39" s="6">
        <v>16.899999999999999</v>
      </c>
      <c r="K39" s="6" t="s">
        <v>40</v>
      </c>
      <c r="L39" s="6">
        <v>2018</v>
      </c>
      <c r="M39" s="6">
        <v>4.0999999999999996</v>
      </c>
      <c r="N39" s="6" t="s">
        <v>32</v>
      </c>
      <c r="O39" s="6">
        <v>66.2</v>
      </c>
      <c r="P39" s="6">
        <v>19.899999999999999</v>
      </c>
      <c r="Q39" s="6">
        <v>46.3</v>
      </c>
      <c r="R39" s="6">
        <v>33.799999999999997</v>
      </c>
      <c r="S39" s="6"/>
    </row>
    <row r="40" spans="1:19" x14ac:dyDescent="0.3">
      <c r="A40" s="6" t="s">
        <v>88</v>
      </c>
      <c r="B40" s="6" t="s">
        <v>38</v>
      </c>
      <c r="C40" s="6">
        <v>227882945</v>
      </c>
      <c r="D40" s="6">
        <v>227.88</v>
      </c>
      <c r="E40" s="6">
        <v>9994</v>
      </c>
      <c r="F40" s="6" t="s">
        <v>39</v>
      </c>
      <c r="G40" s="6">
        <v>62</v>
      </c>
      <c r="H40" s="6">
        <v>71.3</v>
      </c>
      <c r="I40" s="6">
        <v>52.7</v>
      </c>
      <c r="J40" s="6">
        <v>18.600000000000001</v>
      </c>
      <c r="K40" s="6" t="s">
        <v>50</v>
      </c>
      <c r="L40" s="6">
        <v>2018</v>
      </c>
      <c r="M40" s="6">
        <v>0.4</v>
      </c>
      <c r="N40" s="6" t="s">
        <v>63</v>
      </c>
      <c r="O40" s="6">
        <v>97.3</v>
      </c>
      <c r="P40" s="6">
        <v>47.6</v>
      </c>
      <c r="Q40" s="6">
        <v>49.7</v>
      </c>
      <c r="R40" s="6">
        <v>2.7</v>
      </c>
      <c r="S40" s="6" t="s">
        <v>36</v>
      </c>
    </row>
    <row r="41" spans="1:19" x14ac:dyDescent="0.3">
      <c r="A41" s="6" t="s">
        <v>89</v>
      </c>
      <c r="B41" s="6" t="s">
        <v>48</v>
      </c>
      <c r="C41" s="6">
        <v>13954471</v>
      </c>
      <c r="D41" s="6">
        <v>13.95</v>
      </c>
      <c r="E41" s="6">
        <v>4523</v>
      </c>
      <c r="F41" s="6" t="s">
        <v>46</v>
      </c>
      <c r="G41" s="6">
        <v>73.2</v>
      </c>
      <c r="H41" s="6">
        <v>77.599999999999994</v>
      </c>
      <c r="I41" s="6">
        <v>69.400000000000006</v>
      </c>
      <c r="J41" s="6">
        <v>8.1999999999999993</v>
      </c>
      <c r="K41" s="6" t="s">
        <v>31</v>
      </c>
      <c r="L41" s="6">
        <v>2018</v>
      </c>
      <c r="M41" s="6">
        <v>4.9000000000000004</v>
      </c>
      <c r="N41" s="6" t="s">
        <v>32</v>
      </c>
      <c r="O41" s="6">
        <v>148.80000000000001</v>
      </c>
      <c r="P41" s="6">
        <v>48.8</v>
      </c>
      <c r="Q41" s="6">
        <v>100</v>
      </c>
      <c r="R41" s="6">
        <v>0</v>
      </c>
      <c r="S41" s="6"/>
    </row>
    <row r="42" spans="1:19" x14ac:dyDescent="0.3">
      <c r="A42" s="6" t="s">
        <v>90</v>
      </c>
      <c r="B42" s="6" t="s">
        <v>52</v>
      </c>
      <c r="C42" s="6">
        <v>230871</v>
      </c>
      <c r="D42" s="6">
        <v>0.23</v>
      </c>
      <c r="E42" s="6">
        <v>6711</v>
      </c>
      <c r="F42" s="6" t="s">
        <v>39</v>
      </c>
      <c r="G42" s="6">
        <v>92.8</v>
      </c>
      <c r="H42" s="6">
        <v>96.2</v>
      </c>
      <c r="I42" s="6">
        <v>89.5</v>
      </c>
      <c r="J42" s="6">
        <v>6.7</v>
      </c>
      <c r="K42" s="6" t="s">
        <v>43</v>
      </c>
      <c r="L42" s="6">
        <v>2018</v>
      </c>
      <c r="M42" s="6">
        <v>5.2</v>
      </c>
      <c r="N42" s="6" t="s">
        <v>32</v>
      </c>
      <c r="O42" s="6">
        <v>99.8</v>
      </c>
      <c r="P42" s="6">
        <v>23.5</v>
      </c>
      <c r="Q42" s="6">
        <v>76.3</v>
      </c>
      <c r="R42" s="6">
        <v>0.2</v>
      </c>
      <c r="S42" s="6" t="s">
        <v>36</v>
      </c>
    </row>
    <row r="43" spans="1:19" x14ac:dyDescent="0.3">
      <c r="A43" s="6" t="s">
        <v>91</v>
      </c>
      <c r="B43" s="6" t="s">
        <v>38</v>
      </c>
      <c r="C43" s="6">
        <v>18077573</v>
      </c>
      <c r="D43" s="6">
        <v>18.079999999999998</v>
      </c>
      <c r="E43" s="6">
        <v>5565</v>
      </c>
      <c r="F43" s="6" t="s">
        <v>39</v>
      </c>
      <c r="G43" s="6">
        <v>51.9</v>
      </c>
      <c r="H43" s="6">
        <v>64.8</v>
      </c>
      <c r="I43" s="6">
        <v>39.799999999999997</v>
      </c>
      <c r="J43" s="6">
        <v>25</v>
      </c>
      <c r="K43" s="6" t="s">
        <v>50</v>
      </c>
      <c r="L43" s="6">
        <v>2017</v>
      </c>
      <c r="M43" s="6">
        <v>6</v>
      </c>
      <c r="N43" s="6" t="s">
        <v>32</v>
      </c>
      <c r="O43" s="6">
        <v>84.3</v>
      </c>
      <c r="P43" s="6">
        <v>47.6</v>
      </c>
      <c r="Q43" s="6">
        <v>36.700000000000003</v>
      </c>
      <c r="R43" s="6">
        <v>15.7</v>
      </c>
      <c r="S43" s="6" t="s">
        <v>41</v>
      </c>
    </row>
    <row r="44" spans="1:19" x14ac:dyDescent="0.3">
      <c r="A44" s="6" t="s">
        <v>92</v>
      </c>
      <c r="B44" s="6" t="s">
        <v>48</v>
      </c>
      <c r="C44" s="6">
        <v>127951</v>
      </c>
      <c r="D44" s="6">
        <v>0.13</v>
      </c>
      <c r="E44" s="6">
        <v>35855</v>
      </c>
      <c r="F44" s="6" t="s">
        <v>30</v>
      </c>
      <c r="G44" s="6">
        <v>95.9</v>
      </c>
      <c r="H44" s="6">
        <v>95.4</v>
      </c>
      <c r="I44" s="6">
        <v>96.4</v>
      </c>
      <c r="J44" s="6">
        <v>-1</v>
      </c>
      <c r="K44" s="6" t="s">
        <v>43</v>
      </c>
      <c r="L44" s="6">
        <v>2018</v>
      </c>
      <c r="M44" s="6">
        <v>4.7</v>
      </c>
      <c r="N44" s="6" t="s">
        <v>32</v>
      </c>
      <c r="O44" s="6">
        <v>98.1</v>
      </c>
      <c r="P44" s="6">
        <v>48.8</v>
      </c>
      <c r="Q44" s="6">
        <v>49.3</v>
      </c>
      <c r="R44" s="6">
        <v>1.9</v>
      </c>
      <c r="S44" s="6" t="s">
        <v>36</v>
      </c>
    </row>
    <row r="45" spans="1:19" x14ac:dyDescent="0.3">
      <c r="A45" s="6" t="s">
        <v>93</v>
      </c>
      <c r="B45" s="6" t="s">
        <v>38</v>
      </c>
      <c r="C45" s="6">
        <v>8460512</v>
      </c>
      <c r="D45" s="6">
        <v>8.4600000000000009</v>
      </c>
      <c r="E45" s="6">
        <v>3909</v>
      </c>
      <c r="F45" s="6" t="s">
        <v>46</v>
      </c>
      <c r="G45" s="6">
        <v>43.2</v>
      </c>
      <c r="H45" s="6">
        <v>51.6</v>
      </c>
      <c r="I45" s="6">
        <v>39.799999999999997</v>
      </c>
      <c r="J45" s="6">
        <v>11.8</v>
      </c>
      <c r="K45" s="6" t="s">
        <v>40</v>
      </c>
      <c r="L45" s="6">
        <v>2018</v>
      </c>
      <c r="M45" s="6">
        <v>6.8</v>
      </c>
      <c r="N45" s="6" t="s">
        <v>44</v>
      </c>
      <c r="O45" s="6">
        <v>163.19999999999999</v>
      </c>
      <c r="P45" s="6">
        <v>47.6</v>
      </c>
      <c r="Q45" s="6">
        <v>115.6</v>
      </c>
      <c r="R45" s="6">
        <v>0</v>
      </c>
      <c r="S45" s="6" t="s">
        <v>41</v>
      </c>
    </row>
    <row r="46" spans="1:19" x14ac:dyDescent="0.3">
      <c r="A46" s="6" t="s">
        <v>94</v>
      </c>
      <c r="B46" s="6" t="s">
        <v>48</v>
      </c>
      <c r="C46" s="6">
        <v>18358615</v>
      </c>
      <c r="D46" s="6">
        <v>18.36</v>
      </c>
      <c r="E46" s="6">
        <v>1956</v>
      </c>
      <c r="F46" s="6" t="s">
        <v>49</v>
      </c>
      <c r="G46" s="6">
        <v>39</v>
      </c>
      <c r="H46" s="6">
        <v>78.400000000000006</v>
      </c>
      <c r="I46" s="6">
        <v>69.400000000000006</v>
      </c>
      <c r="J46" s="6">
        <v>11.4</v>
      </c>
      <c r="K46" s="6" t="s">
        <v>40</v>
      </c>
      <c r="L46" s="6">
        <v>2018</v>
      </c>
      <c r="M46" s="6">
        <v>1.3</v>
      </c>
      <c r="N46" s="6" t="s">
        <v>63</v>
      </c>
      <c r="O46" s="6">
        <v>98.1</v>
      </c>
      <c r="P46" s="6">
        <v>48.8</v>
      </c>
      <c r="Q46" s="6">
        <v>49.3</v>
      </c>
      <c r="R46" s="6">
        <v>1.9</v>
      </c>
      <c r="S46" s="6" t="s">
        <v>95</v>
      </c>
    </row>
    <row r="47" spans="1:19" x14ac:dyDescent="0.3">
      <c r="A47" s="6" t="s">
        <v>96</v>
      </c>
      <c r="B47" s="6" t="s">
        <v>34</v>
      </c>
      <c r="C47" s="6">
        <v>63212384</v>
      </c>
      <c r="D47" s="6">
        <v>63.21</v>
      </c>
      <c r="E47" s="6">
        <v>16740</v>
      </c>
      <c r="F47" s="6" t="s">
        <v>30</v>
      </c>
      <c r="G47" s="6">
        <v>95</v>
      </c>
      <c r="H47" s="6">
        <v>95.5</v>
      </c>
      <c r="I47" s="6">
        <v>94.5</v>
      </c>
      <c r="J47" s="6">
        <v>1</v>
      </c>
      <c r="K47" s="6" t="s">
        <v>43</v>
      </c>
      <c r="L47" s="6">
        <v>2019</v>
      </c>
      <c r="M47" s="6">
        <v>6.2</v>
      </c>
      <c r="N47" s="6" t="s">
        <v>44</v>
      </c>
      <c r="O47" s="6">
        <v>102.4</v>
      </c>
      <c r="P47" s="6">
        <v>82</v>
      </c>
      <c r="Q47" s="6">
        <v>20.399999999999999</v>
      </c>
      <c r="R47" s="6">
        <v>0</v>
      </c>
      <c r="S47" s="6" t="s">
        <v>41</v>
      </c>
    </row>
    <row r="48" spans="1:19" x14ac:dyDescent="0.3">
      <c r="A48" s="6" t="s">
        <v>97</v>
      </c>
      <c r="B48" s="6" t="s">
        <v>48</v>
      </c>
      <c r="C48" s="6">
        <v>11483374</v>
      </c>
      <c r="D48" s="6">
        <v>11.48</v>
      </c>
      <c r="E48" s="6">
        <v>1540</v>
      </c>
      <c r="F48" s="6" t="s">
        <v>49</v>
      </c>
      <c r="G48" s="6">
        <v>34.5</v>
      </c>
      <c r="H48" s="6">
        <v>40.299999999999997</v>
      </c>
      <c r="I48" s="6">
        <v>28.9</v>
      </c>
      <c r="J48" s="6">
        <v>11.4</v>
      </c>
      <c r="K48" s="6" t="s">
        <v>40</v>
      </c>
      <c r="L48" s="6">
        <v>2018</v>
      </c>
      <c r="M48" s="6">
        <v>1.6</v>
      </c>
      <c r="N48" s="6" t="s">
        <v>63</v>
      </c>
      <c r="O48" s="6">
        <v>98.1</v>
      </c>
      <c r="P48" s="6">
        <v>48.8</v>
      </c>
      <c r="Q48" s="6">
        <v>49.3</v>
      </c>
      <c r="R48" s="6">
        <v>1.9</v>
      </c>
      <c r="S48" s="6" t="s">
        <v>36</v>
      </c>
    </row>
    <row r="49" spans="1:19" x14ac:dyDescent="0.3">
      <c r="A49" s="6" t="s">
        <v>98</v>
      </c>
      <c r="B49" s="6" t="s">
        <v>29</v>
      </c>
      <c r="C49" s="6">
        <v>50042791</v>
      </c>
      <c r="D49" s="6">
        <v>50.04</v>
      </c>
      <c r="E49" s="6">
        <v>2451</v>
      </c>
      <c r="F49" s="6" t="s">
        <v>46</v>
      </c>
      <c r="G49" s="6">
        <v>60.7</v>
      </c>
      <c r="H49" s="6">
        <v>65.400000000000006</v>
      </c>
      <c r="I49" s="6">
        <v>56.1</v>
      </c>
      <c r="J49" s="6">
        <v>9.3000000000000007</v>
      </c>
      <c r="K49" s="6" t="s">
        <v>50</v>
      </c>
      <c r="L49" s="6">
        <v>2018</v>
      </c>
      <c r="M49" s="6">
        <v>2</v>
      </c>
      <c r="N49" s="6" t="s">
        <v>63</v>
      </c>
      <c r="O49" s="6">
        <v>104.9</v>
      </c>
      <c r="P49" s="6">
        <v>90</v>
      </c>
      <c r="Q49" s="6">
        <v>14.9</v>
      </c>
      <c r="R49" s="6">
        <v>0</v>
      </c>
      <c r="S49" s="6" t="s">
        <v>36</v>
      </c>
    </row>
    <row r="50" spans="1:19" x14ac:dyDescent="0.3">
      <c r="A50" s="6" t="s">
        <v>99</v>
      </c>
      <c r="B50" s="6" t="s">
        <v>48</v>
      </c>
      <c r="C50" s="6">
        <v>66617606</v>
      </c>
      <c r="D50" s="6">
        <v>66.62</v>
      </c>
      <c r="E50" s="6">
        <v>4607</v>
      </c>
      <c r="F50" s="6" t="s">
        <v>46</v>
      </c>
      <c r="G50" s="6">
        <v>77.900000000000006</v>
      </c>
      <c r="H50" s="6">
        <v>83.2</v>
      </c>
      <c r="I50" s="6">
        <v>73.099999999999994</v>
      </c>
      <c r="J50" s="6">
        <v>10.1</v>
      </c>
      <c r="K50" s="6" t="s">
        <v>31</v>
      </c>
      <c r="L50" s="6">
        <v>2015</v>
      </c>
      <c r="M50" s="6">
        <v>3.3</v>
      </c>
      <c r="N50" s="6" t="s">
        <v>35</v>
      </c>
      <c r="O50" s="6">
        <v>90.6</v>
      </c>
      <c r="P50" s="6">
        <v>48.8</v>
      </c>
      <c r="Q50" s="6">
        <v>41.8</v>
      </c>
      <c r="R50" s="6">
        <v>9.4</v>
      </c>
      <c r="S50" s="6" t="s">
        <v>41</v>
      </c>
    </row>
    <row r="51" spans="1:19" x14ac:dyDescent="0.3">
      <c r="A51" s="6" t="s">
        <v>100</v>
      </c>
      <c r="B51" s="6" t="s">
        <v>38</v>
      </c>
      <c r="C51" s="6">
        <v>9304337</v>
      </c>
      <c r="D51" s="6">
        <v>9.3000000000000007</v>
      </c>
      <c r="E51" s="6">
        <v>3757</v>
      </c>
      <c r="F51" s="6" t="s">
        <v>46</v>
      </c>
      <c r="G51" s="6">
        <v>66.5</v>
      </c>
      <c r="H51" s="6">
        <v>80</v>
      </c>
      <c r="I51" s="6">
        <v>55.1</v>
      </c>
      <c r="J51" s="6">
        <v>24.9</v>
      </c>
      <c r="K51" s="6" t="s">
        <v>50</v>
      </c>
      <c r="L51" s="6">
        <v>2019</v>
      </c>
      <c r="M51" s="6">
        <v>3.8</v>
      </c>
      <c r="N51" s="6" t="s">
        <v>35</v>
      </c>
      <c r="O51" s="6">
        <v>118.4</v>
      </c>
      <c r="P51" s="6">
        <v>47.6</v>
      </c>
      <c r="Q51" s="6">
        <v>70.8</v>
      </c>
      <c r="R51" s="6">
        <v>0</v>
      </c>
      <c r="S51" s="6" t="s">
        <v>41</v>
      </c>
    </row>
    <row r="52" spans="1:19" x14ac:dyDescent="0.3">
      <c r="A52" s="6" t="s">
        <v>101</v>
      </c>
      <c r="B52" s="6" t="s">
        <v>29</v>
      </c>
      <c r="C52" s="6">
        <v>12200431</v>
      </c>
      <c r="D52" s="6">
        <v>12.2</v>
      </c>
      <c r="E52" s="6">
        <v>15833</v>
      </c>
      <c r="F52" s="6" t="s">
        <v>30</v>
      </c>
      <c r="G52" s="6">
        <v>81.8</v>
      </c>
      <c r="H52" s="6">
        <v>89.6</v>
      </c>
      <c r="I52" s="6">
        <v>74.2</v>
      </c>
      <c r="J52" s="6">
        <v>15.4</v>
      </c>
      <c r="K52" s="6" t="s">
        <v>31</v>
      </c>
      <c r="L52" s="6">
        <v>2015</v>
      </c>
      <c r="M52" s="6">
        <v>6.7</v>
      </c>
      <c r="N52" s="6" t="s">
        <v>44</v>
      </c>
      <c r="O52" s="6">
        <v>104.1</v>
      </c>
      <c r="P52" s="6">
        <v>90</v>
      </c>
      <c r="Q52" s="6">
        <v>14.1</v>
      </c>
      <c r="R52" s="6">
        <v>0</v>
      </c>
      <c r="S52" s="6" t="s">
        <v>41</v>
      </c>
    </row>
    <row r="53" spans="1:19" x14ac:dyDescent="0.3">
      <c r="A53" s="6" t="s">
        <v>102</v>
      </c>
      <c r="B53" s="6" t="s">
        <v>48</v>
      </c>
      <c r="C53" s="6">
        <v>48656601</v>
      </c>
      <c r="D53" s="6">
        <v>48.66</v>
      </c>
      <c r="E53" s="6">
        <v>4192</v>
      </c>
      <c r="F53" s="6" t="s">
        <v>46</v>
      </c>
      <c r="G53" s="6">
        <v>76.5</v>
      </c>
      <c r="H53" s="6">
        <v>82.7</v>
      </c>
      <c r="I53" s="6">
        <v>70.8</v>
      </c>
      <c r="J53" s="6">
        <v>11.9</v>
      </c>
      <c r="K53" s="6" t="s">
        <v>31</v>
      </c>
      <c r="L53" s="6">
        <v>2018</v>
      </c>
      <c r="M53" s="6">
        <v>2.6</v>
      </c>
      <c r="N53" s="6" t="s">
        <v>35</v>
      </c>
      <c r="O53" s="6">
        <v>98.1</v>
      </c>
      <c r="P53" s="6">
        <v>48.8</v>
      </c>
      <c r="Q53" s="6">
        <v>49.3</v>
      </c>
      <c r="R53" s="6">
        <v>1.9</v>
      </c>
      <c r="S53" s="6" t="s">
        <v>36</v>
      </c>
    </row>
    <row r="54" spans="1:19" x14ac:dyDescent="0.3">
      <c r="A54" s="6" t="s">
        <v>103</v>
      </c>
      <c r="B54" s="6" t="s">
        <v>34</v>
      </c>
      <c r="C54" s="6">
        <v>20723965</v>
      </c>
      <c r="D54" s="6">
        <v>20.72</v>
      </c>
      <c r="E54" s="6">
        <v>4572</v>
      </c>
      <c r="F54" s="6" t="s">
        <v>46</v>
      </c>
      <c r="G54" s="6">
        <v>86.7</v>
      </c>
      <c r="H54" s="6">
        <v>90.6</v>
      </c>
      <c r="I54" s="6">
        <v>83.1</v>
      </c>
      <c r="J54" s="6">
        <v>7.5</v>
      </c>
      <c r="K54" s="6" t="s">
        <v>43</v>
      </c>
      <c r="L54" s="6">
        <v>2018</v>
      </c>
      <c r="M54" s="6">
        <v>3.6</v>
      </c>
      <c r="N54" s="6" t="s">
        <v>35</v>
      </c>
      <c r="O54" s="6">
        <v>113.2</v>
      </c>
      <c r="P54" s="6">
        <v>56.8</v>
      </c>
      <c r="Q54" s="6">
        <v>56.4</v>
      </c>
      <c r="R54" s="6">
        <v>0</v>
      </c>
      <c r="S54" s="6" t="s">
        <v>83</v>
      </c>
    </row>
    <row r="55" spans="1:19" x14ac:dyDescent="0.3">
      <c r="A55" s="6" t="s">
        <v>104</v>
      </c>
      <c r="B55" s="6" t="s">
        <v>34</v>
      </c>
      <c r="C55" s="6">
        <v>16340822</v>
      </c>
      <c r="D55" s="6">
        <v>16.34</v>
      </c>
      <c r="E55" s="6">
        <v>8443</v>
      </c>
      <c r="F55" s="6" t="s">
        <v>39</v>
      </c>
      <c r="G55" s="6">
        <v>86.5</v>
      </c>
      <c r="H55" s="6">
        <v>88.5</v>
      </c>
      <c r="I55" s="6">
        <v>84.6</v>
      </c>
      <c r="J55" s="6">
        <v>3.9</v>
      </c>
      <c r="K55" s="6" t="s">
        <v>43</v>
      </c>
      <c r="L55" s="6">
        <v>2015</v>
      </c>
      <c r="M55" s="6">
        <v>2.1</v>
      </c>
      <c r="N55" s="6" t="s">
        <v>35</v>
      </c>
      <c r="O55" s="6">
        <v>93.2</v>
      </c>
      <c r="P55" s="6">
        <v>82</v>
      </c>
      <c r="Q55" s="6">
        <v>11.2</v>
      </c>
      <c r="R55" s="6">
        <v>6.8</v>
      </c>
      <c r="S55" s="6" t="s">
        <v>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zoomScaleNormal="100" workbookViewId="0">
      <selection activeCell="B20" sqref="B20"/>
    </sheetView>
  </sheetViews>
  <sheetFormatPr defaultColWidth="8.6640625" defaultRowHeight="14.4" x14ac:dyDescent="0.3"/>
  <cols>
    <col min="1" max="1" width="38" customWidth="1"/>
    <col min="2" max="2" width="90" customWidth="1"/>
  </cols>
  <sheetData>
    <row r="1" spans="1:2" x14ac:dyDescent="0.3">
      <c r="A1" s="5" t="s">
        <v>105</v>
      </c>
      <c r="B1" s="5" t="s">
        <v>106</v>
      </c>
    </row>
    <row r="2" spans="1:2" x14ac:dyDescent="0.3">
      <c r="A2" s="7" t="s">
        <v>9</v>
      </c>
      <c r="B2" s="7" t="s">
        <v>107</v>
      </c>
    </row>
    <row r="3" spans="1:2" x14ac:dyDescent="0.3">
      <c r="A3" s="7" t="s">
        <v>10</v>
      </c>
      <c r="B3" s="7" t="s">
        <v>108</v>
      </c>
    </row>
    <row r="4" spans="1:2" x14ac:dyDescent="0.3">
      <c r="A4" s="7" t="s">
        <v>11</v>
      </c>
      <c r="B4" s="7" t="s">
        <v>109</v>
      </c>
    </row>
    <row r="5" spans="1:2" x14ac:dyDescent="0.3">
      <c r="A5" s="7" t="s">
        <v>12</v>
      </c>
      <c r="B5" s="7" t="s">
        <v>110</v>
      </c>
    </row>
    <row r="6" spans="1:2" x14ac:dyDescent="0.3">
      <c r="A6" s="7" t="s">
        <v>13</v>
      </c>
      <c r="B6" s="7" t="s">
        <v>111</v>
      </c>
    </row>
    <row r="7" spans="1:2" x14ac:dyDescent="0.3">
      <c r="A7" s="7" t="s">
        <v>14</v>
      </c>
      <c r="B7" s="7" t="s">
        <v>112</v>
      </c>
    </row>
    <row r="8" spans="1:2" x14ac:dyDescent="0.3">
      <c r="A8" s="7" t="s">
        <v>15</v>
      </c>
      <c r="B8" s="7" t="s">
        <v>113</v>
      </c>
    </row>
    <row r="9" spans="1:2" x14ac:dyDescent="0.3">
      <c r="A9" s="7" t="s">
        <v>16</v>
      </c>
      <c r="B9" s="7" t="s">
        <v>114</v>
      </c>
    </row>
    <row r="10" spans="1:2" x14ac:dyDescent="0.3">
      <c r="A10" s="7" t="s">
        <v>17</v>
      </c>
      <c r="B10" s="7" t="s">
        <v>115</v>
      </c>
    </row>
    <row r="11" spans="1:2" x14ac:dyDescent="0.3">
      <c r="A11" s="7" t="s">
        <v>18</v>
      </c>
      <c r="B11" s="7" t="s">
        <v>116</v>
      </c>
    </row>
    <row r="12" spans="1:2" x14ac:dyDescent="0.3">
      <c r="A12" s="7" t="s">
        <v>19</v>
      </c>
      <c r="B12" s="7" t="s">
        <v>117</v>
      </c>
    </row>
    <row r="13" spans="1:2" x14ac:dyDescent="0.3">
      <c r="A13" s="7" t="s">
        <v>20</v>
      </c>
      <c r="B13" s="7" t="s">
        <v>118</v>
      </c>
    </row>
    <row r="14" spans="1:2" x14ac:dyDescent="0.3">
      <c r="A14" s="7" t="s">
        <v>21</v>
      </c>
      <c r="B14" s="7" t="s">
        <v>119</v>
      </c>
    </row>
    <row r="15" spans="1:2" x14ac:dyDescent="0.3">
      <c r="A15" s="7" t="s">
        <v>22</v>
      </c>
      <c r="B15" s="7" t="s">
        <v>120</v>
      </c>
    </row>
    <row r="16" spans="1:2" x14ac:dyDescent="0.3">
      <c r="A16" s="7" t="s">
        <v>23</v>
      </c>
      <c r="B16" s="7" t="s">
        <v>121</v>
      </c>
    </row>
    <row r="17" spans="1:2" x14ac:dyDescent="0.3">
      <c r="A17" s="7" t="s">
        <v>24</v>
      </c>
      <c r="B17" s="7" t="s">
        <v>122</v>
      </c>
    </row>
    <row r="18" spans="1:2" x14ac:dyDescent="0.3">
      <c r="A18" s="7" t="s">
        <v>25</v>
      </c>
      <c r="B18" s="7" t="s">
        <v>123</v>
      </c>
    </row>
    <row r="19" spans="1:2" x14ac:dyDescent="0.3">
      <c r="A19" s="7" t="s">
        <v>26</v>
      </c>
      <c r="B19" s="7" t="s">
        <v>124</v>
      </c>
    </row>
    <row r="20" spans="1:2" ht="26.4" x14ac:dyDescent="0.3">
      <c r="A20" s="7" t="s">
        <v>27</v>
      </c>
      <c r="B20" s="7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zoomScaleNormal="100" workbookViewId="0">
      <selection activeCell="G2" sqref="G2"/>
    </sheetView>
  </sheetViews>
  <sheetFormatPr defaultColWidth="8.6640625" defaultRowHeight="14.4" x14ac:dyDescent="0.3"/>
  <cols>
    <col min="1" max="1" width="25" customWidth="1"/>
    <col min="2" max="2" width="26" customWidth="1"/>
    <col min="3" max="9" width="32" customWidth="1"/>
  </cols>
  <sheetData>
    <row r="1" spans="1:9" ht="26.4" x14ac:dyDescent="0.3">
      <c r="A1" s="5" t="s">
        <v>10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  <c r="I1" s="5" t="s">
        <v>133</v>
      </c>
    </row>
    <row r="2" spans="1:9" x14ac:dyDescent="0.3">
      <c r="A2" s="6" t="s">
        <v>52</v>
      </c>
      <c r="B2" s="6">
        <f>COUNTIF(Data!B2:B55,A2)</f>
        <v>8</v>
      </c>
      <c r="C2" s="6">
        <f>SUMIF(Data!B2:B55,A2,Data!C2:C55)</f>
        <v>169379997</v>
      </c>
      <c r="D2" s="6">
        <f>ROUND(AVERAGEIF(Data!B2:B55,A2,Data!E2:E55),0)</f>
        <v>8924</v>
      </c>
      <c r="E2" s="6">
        <f>ROUND(AVERAGEIF(Data!B2:B55,A2,Data!G2:G55),1)</f>
        <v>70.900000000000006</v>
      </c>
      <c r="F2" s="6">
        <f>ROUND(AVERAGEIF(Data!B2:B55,A2,Data!J2:J55),1)</f>
        <v>12.4</v>
      </c>
      <c r="G2" s="6">
        <f>ROUND(AVERAGEIF(Data!B2:B55,A2,Data!M2:M55),1)</f>
        <v>2.7</v>
      </c>
      <c r="H2" s="6">
        <f>ROUND(AVERAGEIF(Data!B2:B55,A2,Data!O2:O55),1)</f>
        <v>99.8</v>
      </c>
      <c r="I2" s="6">
        <f>ROUND(AVERAGEIF(Data!B2:B55,A2,Data!P2:P55),1)</f>
        <v>23.5</v>
      </c>
    </row>
    <row r="3" spans="1:9" x14ac:dyDescent="0.3">
      <c r="A3" s="6" t="s">
        <v>48</v>
      </c>
      <c r="B3" s="6">
        <f>COUNTIF(Data!B2:B55,A3)</f>
        <v>13</v>
      </c>
      <c r="C3" s="6">
        <f>SUMIF(Data!B2:B55,A3,Data!C2:C55)</f>
        <v>393588416</v>
      </c>
      <c r="D3" s="6">
        <f>ROUND(AVERAGEIF(Data!B2:B55,A3,Data!E2:E55),0)</f>
        <v>6736</v>
      </c>
      <c r="E3" s="6">
        <f>ROUND(AVERAGEIF(Data!B2:B55,A3,Data!G2:G55),1)</f>
        <v>68.099999999999994</v>
      </c>
      <c r="F3" s="6">
        <f>ROUND(AVERAGEIF(Data!B2:B55,A3,Data!J2:J55),1)</f>
        <v>9.9</v>
      </c>
      <c r="G3" s="6">
        <f>ROUND(AVERAGEIF(Data!B2:B55,A3,Data!M2:M55),1)</f>
        <v>3.3</v>
      </c>
      <c r="H3" s="6">
        <f>ROUND(AVERAGEIF(Data!B2:B55,A3,Data!O2:O55),1)</f>
        <v>102.5</v>
      </c>
      <c r="I3" s="6">
        <f>ROUND(AVERAGEIF(Data!B2:B55,A3,Data!P2:P55),1)</f>
        <v>48.8</v>
      </c>
    </row>
    <row r="4" spans="1:9" x14ac:dyDescent="0.3">
      <c r="A4" s="6" t="s">
        <v>29</v>
      </c>
      <c r="B4" s="6">
        <f>COUNTIF(Data!B2:B55,A4)</f>
        <v>6</v>
      </c>
      <c r="C4" s="6">
        <f>SUMIF(Data!B2:B55,A4,Data!C2:C55)</f>
        <v>267961377</v>
      </c>
      <c r="D4" s="6">
        <f>ROUND(AVERAGEIF(Data!B2:B55,A4,Data!E2:E55),0)</f>
        <v>15395</v>
      </c>
      <c r="E4" s="6">
        <f>ROUND(AVERAGEIF(Data!B2:B55,A4,Data!G2:G55),1)</f>
        <v>76.7</v>
      </c>
      <c r="F4" s="6">
        <f>ROUND(AVERAGEIF(Data!B2:B55,A4,Data!J2:J55),1)</f>
        <v>12.9</v>
      </c>
      <c r="G4" s="6">
        <f>ROUND(AVERAGEIF(Data!B2:B55,A4,Data!M2:M55),1)</f>
        <v>4.4000000000000004</v>
      </c>
      <c r="H4" s="6">
        <f>ROUND(AVERAGEIF(Data!B2:B55,A4,Data!O2:O55),1)</f>
        <v>104.3</v>
      </c>
      <c r="I4" s="6">
        <f>ROUND(AVERAGEIF(Data!B2:B55,A4,Data!P2:P55),1)</f>
        <v>91.7</v>
      </c>
    </row>
    <row r="5" spans="1:9" x14ac:dyDescent="0.3">
      <c r="A5" s="6" t="s">
        <v>34</v>
      </c>
      <c r="B5" s="6">
        <f>COUNTIF(Data!B2:B55,A5)</f>
        <v>11</v>
      </c>
      <c r="C5" s="6">
        <f>SUMIF(Data!B2:B55,A5,Data!C2:C55)</f>
        <v>202025624</v>
      </c>
      <c r="D5" s="6">
        <f>ROUND(AVERAGEIF(Data!B2:B55,A5,Data!E2:E55),0)</f>
        <v>11889</v>
      </c>
      <c r="E5" s="6">
        <f>ROUND(AVERAGEIF(Data!B2:B55,A5,Data!G2:G55),1)</f>
        <v>81.900000000000006</v>
      </c>
      <c r="F5" s="6">
        <f>ROUND(AVERAGEIF(Data!B2:B55,A5,Data!J2:J55),1)</f>
        <v>5.2</v>
      </c>
      <c r="G5" s="6">
        <f>ROUND(AVERAGEIF(Data!B2:B55,A5,Data!M2:M55),1)</f>
        <v>5.3</v>
      </c>
      <c r="H5" s="6">
        <f>ROUND(AVERAGEIF(Data!B2:B55,A5,Data!O2:O55),1)</f>
        <v>110.1</v>
      </c>
      <c r="I5" s="6">
        <f>ROUND(AVERAGEIF(Data!B2:B55,A5,Data!P2:P55),1)</f>
        <v>80.5</v>
      </c>
    </row>
    <row r="6" spans="1:9" x14ac:dyDescent="0.3">
      <c r="A6" s="6" t="s">
        <v>38</v>
      </c>
      <c r="B6" s="6">
        <f>COUNTIF(Data!B2:B55,A6)</f>
        <v>16</v>
      </c>
      <c r="C6" s="6">
        <f>SUMIF(Data!B2:B55,A6,Data!C2:C55)</f>
        <v>446039191</v>
      </c>
      <c r="D6" s="6">
        <f>ROUND(AVERAGEIF(Data!B2:B55,A6,Data!E2:E55),0)</f>
        <v>5773</v>
      </c>
      <c r="E6" s="6">
        <f>ROUND(AVERAGEIF(Data!B2:B55,A6,Data!G2:G55),1)</f>
        <v>55.2</v>
      </c>
      <c r="F6" s="6">
        <f>ROUND(AVERAGEIF(Data!B2:B55,A6,Data!J2:J55),1)</f>
        <v>19</v>
      </c>
      <c r="G6" s="6">
        <f>ROUND(AVERAGEIF(Data!B2:B55,A6,Data!M2:M55),1)</f>
        <v>3.5</v>
      </c>
      <c r="H6" s="6">
        <f>ROUND(AVERAGEIF(Data!B2:B55,A6,Data!O2:O55),1)</f>
        <v>97.5</v>
      </c>
      <c r="I6" s="6">
        <f>ROUND(AVERAGEIF(Data!B2:B55,A6,Data!P2:P55),1)</f>
        <v>47.6</v>
      </c>
    </row>
    <row r="7" spans="1:9" x14ac:dyDescent="0.3">
      <c r="A7" s="6" t="s">
        <v>134</v>
      </c>
      <c r="B7" s="6">
        <f>SUM(B2:B6)</f>
        <v>54</v>
      </c>
      <c r="C7" s="6">
        <f>SUM(C2:C6)</f>
        <v>1478994605</v>
      </c>
      <c r="D7" s="6">
        <f>ROUND(AVERAGEIF(Data!B2:B55,"&lt;&gt;",Data!E2:E55),0)</f>
        <v>8786</v>
      </c>
      <c r="E7" s="6">
        <f>ROUND(AVERAGE(Data!G2:G55),1)</f>
        <v>68.5</v>
      </c>
      <c r="F7" s="6">
        <f>ROUND(AVERAGE(Data!J2:J55),1)</f>
        <v>12.3</v>
      </c>
      <c r="G7" s="6">
        <f>ROUND(AVERAGE(Data!M2:M55),1)</f>
        <v>3.8</v>
      </c>
      <c r="H7" s="6">
        <f>ROUND(AVERAGE(Data!O2:O55),1)</f>
        <v>102.4</v>
      </c>
      <c r="I7" s="6">
        <f>ROUND(AVERAGE(Data!P2:P55),1)</f>
        <v>55.9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30" customWidth="1"/>
    <col min="3" max="3" width="90" customWidth="1"/>
  </cols>
  <sheetData>
    <row r="1" spans="1:3" x14ac:dyDescent="0.3">
      <c r="A1" s="5" t="s">
        <v>135</v>
      </c>
      <c r="B1" s="5" t="s">
        <v>136</v>
      </c>
      <c r="C1" s="5" t="s">
        <v>137</v>
      </c>
    </row>
    <row r="2" spans="1:3" ht="26.4" x14ac:dyDescent="0.3">
      <c r="A2" s="7" t="s">
        <v>138</v>
      </c>
      <c r="B2" s="7" t="s">
        <v>139</v>
      </c>
      <c r="C2" s="7" t="s">
        <v>140</v>
      </c>
    </row>
    <row r="3" spans="1:3" x14ac:dyDescent="0.3">
      <c r="A3" s="7" t="s">
        <v>141</v>
      </c>
      <c r="B3" s="7" t="s">
        <v>142</v>
      </c>
      <c r="C3" s="7" t="s">
        <v>143</v>
      </c>
    </row>
    <row r="4" spans="1:3" ht="39.6" x14ac:dyDescent="0.3">
      <c r="A4" s="7" t="s">
        <v>144</v>
      </c>
      <c r="B4" s="7" t="s">
        <v>145</v>
      </c>
      <c r="C4" s="7" t="s">
        <v>146</v>
      </c>
    </row>
    <row r="5" spans="1:3" ht="26.4" x14ac:dyDescent="0.3">
      <c r="A5" s="7" t="s">
        <v>147</v>
      </c>
      <c r="B5" s="7" t="s">
        <v>148</v>
      </c>
      <c r="C5" s="7" t="s">
        <v>149</v>
      </c>
    </row>
    <row r="6" spans="1:3" x14ac:dyDescent="0.3">
      <c r="A6" s="7" t="s">
        <v>150</v>
      </c>
      <c r="B6" s="7" t="s">
        <v>151</v>
      </c>
      <c r="C6" s="7" t="s">
        <v>152</v>
      </c>
    </row>
    <row r="7" spans="1:3" ht="26.4" x14ac:dyDescent="0.3">
      <c r="A7" s="7" t="s">
        <v>153</v>
      </c>
      <c r="B7" s="7" t="s">
        <v>154</v>
      </c>
      <c r="C7" s="7" t="s">
        <v>155</v>
      </c>
    </row>
    <row r="8" spans="1:3" ht="39.6" x14ac:dyDescent="0.3">
      <c r="A8" s="7" t="s">
        <v>156</v>
      </c>
      <c r="B8" s="7" t="s">
        <v>157</v>
      </c>
      <c r="C8" s="7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Data_Dictionary</vt:lpstr>
      <vt:lpstr>Region_Summary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podga bikay</cp:lastModifiedBy>
  <cp:revision>0</cp:revision>
  <dcterms:created xsi:type="dcterms:W3CDTF">2026-07-23T08:07:48Z</dcterms:created>
  <dcterms:modified xsi:type="dcterms:W3CDTF">2026-07-25T16:15:47Z</dcterms:modified>
  <dc:language>en-US</dc:language>
</cp:coreProperties>
</file>